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y" state="visible" r:id="rId4"/>
    <sheet sheetId="2" name="Demand" state="visible" r:id="rId5"/>
    <sheet sheetId="3" name="Employee Master" state="visible" r:id="rId6"/>
    <sheet sheetId="4" name="Skills Master" state="visible" r:id="rId7"/>
    <sheet sheetId="5" name="Resource Levels" state="visible" r:id="rId8"/>
    <sheet sheetId="6" name="Project Master" state="visible" r:id="rId9"/>
  </sheets>
  <calcPr calcId="171027"/>
</workbook>
</file>

<file path=xl/sharedStrings.xml><?xml version="1.0" encoding="utf-8"?>
<sst xmlns="http://schemas.openxmlformats.org/spreadsheetml/2006/main" count="225" uniqueCount="89">
  <si>
    <t>Employee Name</t>
  </si>
  <si>
    <t>Level</t>
  </si>
  <si>
    <t>Skill Set</t>
  </si>
  <si>
    <t>Project Assigned</t>
  </si>
  <si>
    <t>Week ending 3/21</t>
  </si>
  <si>
    <t>Week ending 3/28</t>
  </si>
  <si>
    <t>Week ending 4/4</t>
  </si>
  <si>
    <t>Week ending 4/11</t>
  </si>
  <si>
    <t>Week ending 4/18</t>
  </si>
  <si>
    <t>Week ending 4/25</t>
  </si>
  <si>
    <t>Week ending 5/2</t>
  </si>
  <si>
    <t>Week ending 5/9</t>
  </si>
  <si>
    <t>Week ending 5/16</t>
  </si>
  <si>
    <t>Week ending 5/23</t>
  </si>
  <si>
    <t>Week ending 5/30</t>
  </si>
  <si>
    <t>Week ending 6/6</t>
  </si>
  <si>
    <t>Week ending 6/13</t>
  </si>
  <si>
    <t>Week ending 6/20</t>
  </si>
  <si>
    <t>Week ending 6/27</t>
  </si>
  <si>
    <t>Sarah Mitchell</t>
  </si>
  <si>
    <t>NetSuite - Record to Report</t>
  </si>
  <si>
    <t>Harrington Manufacturing – NetSuite ERP Implementation</t>
  </si>
  <si>
    <t>Crestline Energy – NetSuite ERP Assessment</t>
  </si>
  <si>
    <t>James Okafor</t>
  </si>
  <si>
    <t>NetSuite - Supply Chain</t>
  </si>
  <si>
    <t>Pinnacle Logistics – Supply Chain Rollout</t>
  </si>
  <si>
    <t>Internal – Practice Development</t>
  </si>
  <si>
    <t>Rachel Torres</t>
  </si>
  <si>
    <t>NetSuite - Order to Cash</t>
  </si>
  <si>
    <t>Clearwater Retail – O2C Optimization</t>
  </si>
  <si>
    <t>Vantage Distribution – Full Suite Implementation</t>
  </si>
  <si>
    <t>David Chen</t>
  </si>
  <si>
    <t>NetSuite - Procure to Pay</t>
  </si>
  <si>
    <t>Summit Healthcare – P2P Upgrade</t>
  </si>
  <si>
    <t>Priya Sharma</t>
  </si>
  <si>
    <t>Meridian Financial – R2R Consolidation</t>
  </si>
  <si>
    <t>Marcus Webb</t>
  </si>
  <si>
    <t>Luke Bennett</t>
  </si>
  <si>
    <t>Nina Patel</t>
  </si>
  <si>
    <t>Carlos Rivera</t>
  </si>
  <si>
    <t>Emily Walsh</t>
  </si>
  <si>
    <t>Tom Nguyen</t>
  </si>
  <si>
    <t>Aisha Kamara</t>
  </si>
  <si>
    <t>Ben Foster</t>
  </si>
  <si>
    <t>Maya Johansson</t>
  </si>
  <si>
    <t>Ryan O'Brien</t>
  </si>
  <si>
    <t>Project/Client Name</t>
  </si>
  <si>
    <t>Resource Level</t>
  </si>
  <si>
    <t>Resource Skill Set</t>
  </si>
  <si>
    <t>Start Date</t>
  </si>
  <si>
    <t>End Date</t>
  </si>
  <si>
    <t>Hours Per Week</t>
  </si>
  <si>
    <t>Senior Consultant</t>
  </si>
  <si>
    <t>04/01/2026</t>
  </si>
  <si>
    <t>06/30/2026</t>
  </si>
  <si>
    <t>Consultant</t>
  </si>
  <si>
    <t>03/20/2026</t>
  </si>
  <si>
    <t>05/31/2026</t>
  </si>
  <si>
    <t>03/21/2026</t>
  </si>
  <si>
    <t>06/27/2026</t>
  </si>
  <si>
    <t>Manager</t>
  </si>
  <si>
    <t>05/01/2026</t>
  </si>
  <si>
    <t>07/31/2026</t>
  </si>
  <si>
    <t>04/15/2026</t>
  </si>
  <si>
    <t>07/15/2026</t>
  </si>
  <si>
    <t>Apex Pharma – NetSuite Assessment</t>
  </si>
  <si>
    <t>Senior Manager</t>
  </si>
  <si>
    <t>05/15/2026</t>
  </si>
  <si>
    <t>08/31/2026</t>
  </si>
  <si>
    <t>Internal – Pre-Sales Support</t>
  </si>
  <si>
    <t>Analyst</t>
  </si>
  <si>
    <t>05/30/2026</t>
  </si>
  <si>
    <t>Partner/MD</t>
  </si>
  <si>
    <t>Project ID</t>
  </si>
  <si>
    <t>Project Name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</si>
  <si>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</si>
  <si>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</si>
  <si>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</si>
  <si>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</si>
  <si>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</si>
  <si>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</si>
  <si>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</si>
  <si>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</si>
  <si>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</si>
  <si>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</si>
  <si>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</si>
  <si>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Brightfield Group – NetSuite O2C Implementation</t>
  </si>
  <si>
    <t>P012</t>
  </si>
  <si>
    <t>Coastal Medical – NetSuite P2P Rollout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</si>
</sst>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8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E9EFF7"/>
      </patternFill>
    </fill>
    <fill>
      <patternFill patternType="solid">
        <fgColor rgb="FF00B050"/>
      </patternFill>
    </fill>
    <fill>
      <patternFill patternType="solid">
        <fgColor rgb="FF8B0000"/>
      </patternFill>
    </fill>
    <fill>
      <patternFill patternType="solid">
        <fgColor rgb="FFFF9999"/>
      </patternFill>
    </fill>
    <fill>
      <patternFill patternType="solid">
        <fgColor rgb="FFFFD7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0" customWidth="1"/>
    <col min="3" max="3" width="34" customWidth="1"/>
    <col min="4" max="4" width="52" customWidth="1"/>
    <col min="5" max="19" width="14" customWidth="1"/>
  </cols>
  <sheetData>
    <row r="1" ht="30" customHeight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 s="2" t="s">
        <v>19</v>
      </c>
      <c r="B2" s="2">
        <f>VLOOKUP(A2,'Employee Master'!A:B,2,FALSE)</f>
      </c>
      <c r="C2" s="2" t="s">
        <v>20</v>
      </c>
      <c r="D2" s="2" t="s">
        <v>21</v>
      </c>
      <c r="E2" s="3">
        <v>20</v>
      </c>
      <c r="F2" s="3">
        <v>20</v>
      </c>
      <c r="G2" s="3">
        <v>20</v>
      </c>
      <c r="H2" s="3">
        <v>20</v>
      </c>
      <c r="I2" s="3">
        <v>20</v>
      </c>
      <c r="J2" s="3">
        <v>20</v>
      </c>
      <c r="K2" s="3">
        <v>20</v>
      </c>
      <c r="L2" s="3">
        <v>20</v>
      </c>
      <c r="M2" s="3">
        <v>20</v>
      </c>
      <c r="N2" s="3">
        <v>20</v>
      </c>
      <c r="O2" s="3">
        <v>20</v>
      </c>
      <c r="P2" s="3">
        <v>20</v>
      </c>
      <c r="Q2" s="3">
        <v>20</v>
      </c>
      <c r="R2" s="3">
        <v>20</v>
      </c>
      <c r="S2" s="3">
        <v>20</v>
      </c>
    </row>
    <row r="3" spans="1:19" x14ac:dyDescent="0.25">
      <c r="A3" t="s">
        <v>19</v>
      </c>
      <c r="B3">
        <f>VLOOKUP(A3,'Employee Master'!A:B,2,FALSE)</f>
      </c>
      <c r="C3" t="s">
        <v>20</v>
      </c>
      <c r="D3" t="s">
        <v>22</v>
      </c>
      <c r="E3" s="3">
        <v>25</v>
      </c>
      <c r="F3" s="3">
        <v>25</v>
      </c>
      <c r="G3" s="3">
        <v>25</v>
      </c>
      <c r="H3" s="3">
        <v>25</v>
      </c>
      <c r="I3" s="3">
        <v>25</v>
      </c>
      <c r="J3" s="3">
        <v>25</v>
      </c>
      <c r="K3" s="3">
        <v>25</v>
      </c>
      <c r="L3" s="3">
        <v>25</v>
      </c>
      <c r="M3" s="3">
        <v>25</v>
      </c>
      <c r="N3" s="3">
        <v>25</v>
      </c>
      <c r="O3" s="3">
        <v>25</v>
      </c>
      <c r="P3" s="3">
        <v>25</v>
      </c>
      <c r="Q3" s="3">
        <v>25</v>
      </c>
      <c r="R3" s="3">
        <v>25</v>
      </c>
      <c r="S3" s="3">
        <v>25</v>
      </c>
    </row>
    <row r="4" spans="1:19" x14ac:dyDescent="0.25">
      <c r="A4" s="2" t="s">
        <v>23</v>
      </c>
      <c r="B4" s="2">
        <f>VLOOKUP(A4,'Employee Master'!A:B,2,FALSE)</f>
      </c>
      <c r="C4" s="2" t="s">
        <v>24</v>
      </c>
      <c r="D4" s="2" t="s">
        <v>25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</row>
    <row r="5" spans="1:19" x14ac:dyDescent="0.25">
      <c r="A5" t="s">
        <v>23</v>
      </c>
      <c r="B5">
        <f>VLOOKUP(A5,'Employee Master'!A:B,2,FALSE)</f>
      </c>
      <c r="C5" t="s">
        <v>24</v>
      </c>
      <c r="D5" t="s">
        <v>26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</row>
    <row r="6" spans="1:19" x14ac:dyDescent="0.25">
      <c r="A6" s="2" t="s">
        <v>27</v>
      </c>
      <c r="B6" s="2">
        <f>VLOOKUP(A6,'Employee Master'!A:B,2,FALSE)</f>
      </c>
      <c r="C6" s="2" t="s">
        <v>28</v>
      </c>
      <c r="D6" s="2" t="s">
        <v>29</v>
      </c>
      <c r="E6" s="5">
        <v>30</v>
      </c>
      <c r="F6" s="5">
        <v>30</v>
      </c>
      <c r="G6" s="5">
        <v>30</v>
      </c>
      <c r="H6" s="5">
        <v>30</v>
      </c>
      <c r="I6" s="5">
        <v>30</v>
      </c>
      <c r="J6" s="5">
        <v>30</v>
      </c>
      <c r="K6" s="5">
        <v>30</v>
      </c>
      <c r="L6" s="5">
        <v>30</v>
      </c>
      <c r="M6" s="5">
        <v>30</v>
      </c>
      <c r="N6" s="5">
        <v>30</v>
      </c>
      <c r="O6" s="5">
        <v>30</v>
      </c>
      <c r="P6" s="5">
        <v>30</v>
      </c>
      <c r="Q6" s="5">
        <v>30</v>
      </c>
      <c r="R6" s="5">
        <v>30</v>
      </c>
      <c r="S6" s="5">
        <v>30</v>
      </c>
    </row>
    <row r="7" spans="1:19" x14ac:dyDescent="0.25">
      <c r="A7" t="s">
        <v>27</v>
      </c>
      <c r="B7">
        <f>VLOOKUP(A7,'Employee Master'!A:B,2,FALSE)</f>
      </c>
      <c r="C7" t="s">
        <v>28</v>
      </c>
      <c r="D7" t="s">
        <v>30</v>
      </c>
      <c r="E7" s="5">
        <v>20</v>
      </c>
      <c r="F7" s="5">
        <v>20</v>
      </c>
      <c r="G7" s="5">
        <v>20</v>
      </c>
      <c r="H7" s="5">
        <v>20</v>
      </c>
      <c r="I7" s="5">
        <v>20</v>
      </c>
      <c r="J7" s="5">
        <v>20</v>
      </c>
      <c r="K7" s="5">
        <v>20</v>
      </c>
      <c r="L7" s="5">
        <v>20</v>
      </c>
      <c r="M7" s="5">
        <v>20</v>
      </c>
      <c r="N7" s="5">
        <v>20</v>
      </c>
      <c r="O7" s="5">
        <v>20</v>
      </c>
      <c r="P7" s="5">
        <v>20</v>
      </c>
      <c r="Q7" s="5">
        <v>20</v>
      </c>
      <c r="R7" s="5">
        <v>20</v>
      </c>
      <c r="S7" s="5">
        <v>20</v>
      </c>
    </row>
    <row r="8" spans="1:19" x14ac:dyDescent="0.25">
      <c r="A8" s="2" t="s">
        <v>31</v>
      </c>
      <c r="B8" s="2">
        <f>VLOOKUP(A8,'Employee Master'!A:B,2,FALSE)</f>
      </c>
      <c r="C8" s="2" t="s">
        <v>32</v>
      </c>
      <c r="D8" s="2" t="s">
        <v>21</v>
      </c>
      <c r="E8" s="3">
        <v>40</v>
      </c>
      <c r="F8" s="3">
        <v>40</v>
      </c>
      <c r="G8" s="3">
        <v>40</v>
      </c>
      <c r="H8" s="3">
        <v>40</v>
      </c>
      <c r="I8" s="3">
        <v>40</v>
      </c>
      <c r="J8" s="3">
        <v>40</v>
      </c>
      <c r="K8" s="3">
        <v>40</v>
      </c>
      <c r="L8" s="3">
        <v>40</v>
      </c>
      <c r="M8" s="3">
        <v>40</v>
      </c>
      <c r="N8" s="3">
        <v>40</v>
      </c>
      <c r="O8" s="3">
        <v>40</v>
      </c>
      <c r="P8" s="3">
        <v>40</v>
      </c>
      <c r="Q8" s="3">
        <v>40</v>
      </c>
      <c r="R8" s="3">
        <v>40</v>
      </c>
      <c r="S8" s="3">
        <v>40</v>
      </c>
    </row>
    <row r="9" spans="1:19" x14ac:dyDescent="0.25">
      <c r="A9" t="s">
        <v>31</v>
      </c>
      <c r="B9">
        <f>VLOOKUP(A9,'Employee Master'!A:B,2,FALSE)</f>
      </c>
      <c r="C9" t="s">
        <v>32</v>
      </c>
      <c r="D9" t="s">
        <v>33</v>
      </c>
      <c r="E9" s="3">
        <v>5</v>
      </c>
      <c r="F9" s="3">
        <v>5</v>
      </c>
      <c r="G9" s="3">
        <v>5</v>
      </c>
      <c r="H9" s="3">
        <v>5</v>
      </c>
      <c r="I9" s="3">
        <v>5</v>
      </c>
      <c r="J9" s="3">
        <v>5</v>
      </c>
      <c r="K9" s="3">
        <v>5</v>
      </c>
      <c r="L9" s="3">
        <v>5</v>
      </c>
      <c r="M9" s="3">
        <v>5</v>
      </c>
      <c r="N9" s="3">
        <v>5</v>
      </c>
      <c r="O9" s="3">
        <v>5</v>
      </c>
      <c r="P9" s="3">
        <v>5</v>
      </c>
      <c r="Q9" s="3">
        <v>5</v>
      </c>
      <c r="R9" s="3">
        <v>5</v>
      </c>
      <c r="S9" s="3">
        <v>5</v>
      </c>
    </row>
    <row r="10" spans="1:19" x14ac:dyDescent="0.25">
      <c r="A10" s="2" t="s">
        <v>34</v>
      </c>
      <c r="B10" s="2">
        <f>VLOOKUP(A10,'Employee Master'!A:B,2,FALSE)</f>
      </c>
      <c r="C10" s="2" t="s">
        <v>20</v>
      </c>
      <c r="D10" s="2" t="s">
        <v>35</v>
      </c>
      <c r="E10" s="4">
        <v>8</v>
      </c>
      <c r="F10" s="4">
        <v>8</v>
      </c>
      <c r="G10" s="4">
        <v>8</v>
      </c>
      <c r="H10" s="4">
        <v>8</v>
      </c>
      <c r="I10" s="4">
        <v>8</v>
      </c>
      <c r="J10" s="4">
        <v>8</v>
      </c>
      <c r="K10" s="4">
        <v>8</v>
      </c>
      <c r="L10" s="4">
        <v>8</v>
      </c>
      <c r="M10" s="4">
        <v>8</v>
      </c>
      <c r="N10" s="4">
        <v>8</v>
      </c>
      <c r="O10" s="4">
        <v>8</v>
      </c>
      <c r="P10" s="4">
        <v>8</v>
      </c>
      <c r="Q10" s="4">
        <v>8</v>
      </c>
      <c r="R10" s="4">
        <v>8</v>
      </c>
      <c r="S10" s="4">
        <v>8</v>
      </c>
    </row>
    <row r="11" spans="1:19" x14ac:dyDescent="0.25">
      <c r="A11" t="s">
        <v>34</v>
      </c>
      <c r="B11">
        <f>VLOOKUP(A11,'Employee Master'!A:B,2,FALSE)</f>
      </c>
      <c r="C11" t="s">
        <v>20</v>
      </c>
      <c r="D11" t="s">
        <v>22</v>
      </c>
      <c r="E11" s="4">
        <v>2</v>
      </c>
      <c r="F11" s="4">
        <v>2</v>
      </c>
      <c r="G11" s="4">
        <v>2</v>
      </c>
      <c r="H11" s="4">
        <v>2</v>
      </c>
      <c r="I11" s="4">
        <v>2</v>
      </c>
      <c r="J11" s="4">
        <v>2</v>
      </c>
      <c r="K11" s="4">
        <v>2</v>
      </c>
      <c r="L11" s="4">
        <v>2</v>
      </c>
      <c r="M11" s="4">
        <v>2</v>
      </c>
      <c r="N11" s="4">
        <v>2</v>
      </c>
      <c r="O11" s="4">
        <v>2</v>
      </c>
      <c r="P11" s="4">
        <v>2</v>
      </c>
      <c r="Q11" s="4">
        <v>2</v>
      </c>
      <c r="R11" s="4">
        <v>2</v>
      </c>
      <c r="S11" s="4">
        <v>2</v>
      </c>
    </row>
    <row r="12" spans="1:19" x14ac:dyDescent="0.25">
      <c r="A12" s="2" t="s">
        <v>36</v>
      </c>
      <c r="B12" s="2">
        <f>VLOOKUP(A12,'Employee Master'!A:B,2,FALSE)</f>
      </c>
      <c r="C12" s="2" t="s">
        <v>28</v>
      </c>
      <c r="D12" s="2" t="s">
        <v>30</v>
      </c>
      <c r="E12" s="3">
        <v>25</v>
      </c>
      <c r="F12" s="3">
        <v>25</v>
      </c>
      <c r="G12" s="3">
        <v>25</v>
      </c>
      <c r="H12" s="3">
        <v>25</v>
      </c>
      <c r="I12" s="3">
        <v>25</v>
      </c>
      <c r="J12" s="3">
        <v>25</v>
      </c>
      <c r="K12" s="3">
        <v>25</v>
      </c>
      <c r="L12" s="3">
        <v>25</v>
      </c>
      <c r="M12" s="3">
        <v>25</v>
      </c>
      <c r="N12" s="3">
        <v>25</v>
      </c>
      <c r="O12" s="3">
        <v>25</v>
      </c>
      <c r="P12" s="3">
        <v>25</v>
      </c>
      <c r="Q12" s="3">
        <v>25</v>
      </c>
      <c r="R12" s="3">
        <v>25</v>
      </c>
      <c r="S12" s="3">
        <v>25</v>
      </c>
    </row>
    <row r="13" spans="1:19" x14ac:dyDescent="0.25">
      <c r="A13" t="s">
        <v>36</v>
      </c>
      <c r="B13">
        <f>VLOOKUP(A13,'Employee Master'!A:B,2,FALSE)</f>
      </c>
      <c r="C13" t="s">
        <v>24</v>
      </c>
      <c r="D13" t="s">
        <v>25</v>
      </c>
      <c r="E13" s="3">
        <v>20</v>
      </c>
      <c r="F13" s="3">
        <v>20</v>
      </c>
      <c r="G13" s="3">
        <v>20</v>
      </c>
      <c r="H13" s="3">
        <v>20</v>
      </c>
      <c r="I13" s="3">
        <v>20</v>
      </c>
      <c r="J13" s="3">
        <v>20</v>
      </c>
      <c r="K13" s="3">
        <v>20</v>
      </c>
      <c r="L13" s="3">
        <v>20</v>
      </c>
      <c r="M13" s="3">
        <v>20</v>
      </c>
      <c r="N13" s="3">
        <v>20</v>
      </c>
      <c r="O13" s="3">
        <v>20</v>
      </c>
      <c r="P13" s="3">
        <v>20</v>
      </c>
      <c r="Q13" s="3">
        <v>20</v>
      </c>
      <c r="R13" s="3">
        <v>20</v>
      </c>
      <c r="S13" s="3">
        <v>20</v>
      </c>
    </row>
    <row r="14" spans="1:19" x14ac:dyDescent="0.25">
      <c r="A14" s="2" t="s">
        <v>37</v>
      </c>
      <c r="B14" s="2">
        <f>VLOOKUP(A14,'Employee Master'!A:B,2,FALSE)</f>
      </c>
      <c r="C14" s="2" t="s">
        <v>24</v>
      </c>
      <c r="D14" s="2" t="s">
        <v>25</v>
      </c>
      <c r="E14" s="6">
        <v>36</v>
      </c>
      <c r="F14" s="6">
        <v>36</v>
      </c>
      <c r="G14" s="6">
        <v>36</v>
      </c>
      <c r="H14" s="6">
        <v>36</v>
      </c>
      <c r="I14" s="6">
        <v>36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</row>
    <row r="15" spans="1:19" x14ac:dyDescent="0.25">
      <c r="A15" t="s">
        <v>37</v>
      </c>
      <c r="B15">
        <f>VLOOKUP(A15,'Employee Master'!A:B,2,FALSE)</f>
      </c>
      <c r="C15" t="s">
        <v>24</v>
      </c>
      <c r="D15" t="s">
        <v>30</v>
      </c>
      <c r="E15" s="6">
        <v>4</v>
      </c>
      <c r="F15" s="6">
        <v>4</v>
      </c>
      <c r="G15" s="6">
        <v>4</v>
      </c>
      <c r="H15" s="6">
        <v>4</v>
      </c>
      <c r="I15" s="6">
        <v>4</v>
      </c>
      <c r="J15" s="4">
        <v>4</v>
      </c>
      <c r="K15" s="4">
        <v>4</v>
      </c>
      <c r="L15" s="4">
        <v>4</v>
      </c>
      <c r="M15" s="4">
        <v>4</v>
      </c>
      <c r="N15" s="4">
        <v>4</v>
      </c>
      <c r="O15" s="4">
        <v>4</v>
      </c>
      <c r="P15" s="4">
        <v>4</v>
      </c>
      <c r="Q15" s="4">
        <v>4</v>
      </c>
      <c r="R15" s="4">
        <v>4</v>
      </c>
      <c r="S15" s="4">
        <v>4</v>
      </c>
    </row>
    <row r="16" spans="1:19" x14ac:dyDescent="0.25">
      <c r="A16" s="2" t="s">
        <v>38</v>
      </c>
      <c r="B16" s="2">
        <f>VLOOKUP(A16,'Employee Master'!A:B,2,FALSE)</f>
      </c>
      <c r="C16" s="2" t="s">
        <v>28</v>
      </c>
      <c r="D16" s="2" t="s">
        <v>29</v>
      </c>
      <c r="E16" s="3">
        <v>35</v>
      </c>
      <c r="F16" s="3">
        <v>35</v>
      </c>
      <c r="G16" s="3">
        <v>35</v>
      </c>
      <c r="H16" s="3">
        <v>35</v>
      </c>
      <c r="I16" s="3">
        <v>35</v>
      </c>
      <c r="J16" s="3">
        <v>35</v>
      </c>
      <c r="K16" s="3">
        <v>35</v>
      </c>
      <c r="L16" s="3">
        <v>35</v>
      </c>
      <c r="M16" s="3">
        <v>35</v>
      </c>
      <c r="N16" s="3">
        <v>35</v>
      </c>
      <c r="O16" s="3">
        <v>35</v>
      </c>
      <c r="P16" s="3">
        <v>35</v>
      </c>
      <c r="Q16" s="3">
        <v>35</v>
      </c>
      <c r="R16" s="3">
        <v>35</v>
      </c>
      <c r="S16" s="3">
        <v>35</v>
      </c>
    </row>
    <row r="17" spans="1:19" x14ac:dyDescent="0.25">
      <c r="A17" t="s">
        <v>38</v>
      </c>
      <c r="B17">
        <f>VLOOKUP(A17,'Employee Master'!A:B,2,FALSE)</f>
      </c>
      <c r="C17" t="s">
        <v>28</v>
      </c>
      <c r="D17" t="s">
        <v>21</v>
      </c>
      <c r="E17" s="3">
        <v>10</v>
      </c>
      <c r="F17" s="3">
        <v>10</v>
      </c>
      <c r="G17" s="3">
        <v>10</v>
      </c>
      <c r="H17" s="3">
        <v>10</v>
      </c>
      <c r="I17" s="3">
        <v>10</v>
      </c>
      <c r="J17" s="3">
        <v>10</v>
      </c>
      <c r="K17" s="3">
        <v>10</v>
      </c>
      <c r="L17" s="3">
        <v>10</v>
      </c>
      <c r="M17" s="3">
        <v>10</v>
      </c>
      <c r="N17" s="3">
        <v>10</v>
      </c>
      <c r="O17" s="3">
        <v>10</v>
      </c>
      <c r="P17" s="3">
        <v>10</v>
      </c>
      <c r="Q17" s="3">
        <v>10</v>
      </c>
      <c r="R17" s="3">
        <v>10</v>
      </c>
      <c r="S17" s="3">
        <v>10</v>
      </c>
    </row>
    <row r="18" spans="1:19" x14ac:dyDescent="0.25">
      <c r="A18" s="2" t="s">
        <v>39</v>
      </c>
      <c r="B18" s="2">
        <f>VLOOKUP(A18,'Employee Master'!A:B,2,FALSE)</f>
      </c>
      <c r="C18" s="2" t="s">
        <v>32</v>
      </c>
      <c r="D18" s="2" t="s">
        <v>33</v>
      </c>
      <c r="E18" s="5">
        <v>45</v>
      </c>
      <c r="F18" s="5">
        <v>45</v>
      </c>
      <c r="G18" s="5">
        <v>45</v>
      </c>
      <c r="H18" s="5">
        <v>45</v>
      </c>
      <c r="I18" s="5">
        <v>45</v>
      </c>
      <c r="J18" s="5">
        <v>45</v>
      </c>
      <c r="K18" s="5">
        <v>45</v>
      </c>
      <c r="L18" s="5">
        <v>45</v>
      </c>
      <c r="M18" s="5">
        <v>45</v>
      </c>
      <c r="N18" s="5">
        <v>45</v>
      </c>
      <c r="O18" s="5">
        <v>45</v>
      </c>
      <c r="P18" s="5">
        <v>45</v>
      </c>
      <c r="Q18" s="5">
        <v>45</v>
      </c>
      <c r="R18" s="5">
        <v>45</v>
      </c>
      <c r="S18" s="5">
        <v>45</v>
      </c>
    </row>
    <row r="19" spans="1:19" x14ac:dyDescent="0.25">
      <c r="A19" t="s">
        <v>39</v>
      </c>
      <c r="B19">
        <f>VLOOKUP(A19,'Employee Master'!A:B,2,FALSE)</f>
      </c>
      <c r="C19" t="s">
        <v>32</v>
      </c>
      <c r="D19" t="s">
        <v>26</v>
      </c>
      <c r="E19" s="5">
        <v>5</v>
      </c>
      <c r="F19" s="5">
        <v>5</v>
      </c>
      <c r="G19" s="5">
        <v>5</v>
      </c>
      <c r="H19" s="5">
        <v>5</v>
      </c>
      <c r="I19" s="5">
        <v>5</v>
      </c>
      <c r="J19" s="5">
        <v>5</v>
      </c>
      <c r="K19" s="5">
        <v>5</v>
      </c>
      <c r="L19" s="5">
        <v>5</v>
      </c>
      <c r="M19" s="5">
        <v>5</v>
      </c>
      <c r="N19" s="5">
        <v>5</v>
      </c>
      <c r="O19" s="5">
        <v>5</v>
      </c>
      <c r="P19" s="5">
        <v>5</v>
      </c>
      <c r="Q19" s="5">
        <v>5</v>
      </c>
      <c r="R19" s="5">
        <v>5</v>
      </c>
      <c r="S19" s="5">
        <v>5</v>
      </c>
    </row>
    <row r="20" spans="1:19" x14ac:dyDescent="0.25">
      <c r="A20" s="2" t="s">
        <v>40</v>
      </c>
      <c r="B20" s="2">
        <f>VLOOKUP(A20,'Employee Master'!A:B,2,FALSE)</f>
      </c>
      <c r="C20" s="2" t="s">
        <v>20</v>
      </c>
      <c r="D20" s="2" t="s">
        <v>35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</row>
    <row r="21" spans="1:19" x14ac:dyDescent="0.25">
      <c r="A21" t="s">
        <v>40</v>
      </c>
      <c r="B21">
        <f>VLOOKUP(A21,'Employee Master'!A:B,2,FALSE)</f>
      </c>
      <c r="C21" t="s">
        <v>20</v>
      </c>
      <c r="D21" t="s">
        <v>21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</row>
    <row r="22" spans="1:19" x14ac:dyDescent="0.25">
      <c r="A22" s="2" t="s">
        <v>41</v>
      </c>
      <c r="B22" s="2">
        <f>VLOOKUP(A22,'Employee Master'!A:B,2,FALSE)</f>
      </c>
      <c r="C22" s="2" t="s">
        <v>24</v>
      </c>
      <c r="D22" s="2" t="s">
        <v>25</v>
      </c>
      <c r="E22" s="3">
        <v>40</v>
      </c>
      <c r="F22" s="3">
        <v>40</v>
      </c>
      <c r="G22" s="3">
        <v>40</v>
      </c>
      <c r="H22" s="3">
        <v>40</v>
      </c>
      <c r="I22" s="3">
        <v>40</v>
      </c>
      <c r="J22" s="3">
        <v>40</v>
      </c>
      <c r="K22" s="3">
        <v>40</v>
      </c>
      <c r="L22" s="3">
        <v>40</v>
      </c>
      <c r="M22" s="3">
        <v>40</v>
      </c>
      <c r="N22" s="3">
        <v>40</v>
      </c>
      <c r="O22" s="3">
        <v>40</v>
      </c>
      <c r="P22" s="3">
        <v>40</v>
      </c>
      <c r="Q22" s="3">
        <v>40</v>
      </c>
      <c r="R22" s="3">
        <v>40</v>
      </c>
      <c r="S22" s="3">
        <v>40</v>
      </c>
    </row>
    <row r="23" spans="1:19" x14ac:dyDescent="0.25">
      <c r="A23" t="s">
        <v>41</v>
      </c>
      <c r="B23">
        <f>VLOOKUP(A23,'Employee Master'!A:B,2,FALSE)</f>
      </c>
      <c r="C23" t="s">
        <v>24</v>
      </c>
      <c r="D23" t="s">
        <v>26</v>
      </c>
      <c r="E23" s="3">
        <v>5</v>
      </c>
      <c r="F23" s="3">
        <v>5</v>
      </c>
      <c r="G23" s="3">
        <v>5</v>
      </c>
      <c r="H23" s="3">
        <v>5</v>
      </c>
      <c r="I23" s="3">
        <v>5</v>
      </c>
      <c r="J23" s="3">
        <v>5</v>
      </c>
      <c r="K23" s="3">
        <v>5</v>
      </c>
      <c r="L23" s="3">
        <v>5</v>
      </c>
      <c r="M23" s="3">
        <v>5</v>
      </c>
      <c r="N23" s="3">
        <v>5</v>
      </c>
      <c r="O23" s="3">
        <v>5</v>
      </c>
      <c r="P23" s="3">
        <v>5</v>
      </c>
      <c r="Q23" s="3">
        <v>5</v>
      </c>
      <c r="R23" s="3">
        <v>5</v>
      </c>
      <c r="S23" s="3">
        <v>5</v>
      </c>
    </row>
    <row r="24" spans="1:19" x14ac:dyDescent="0.25">
      <c r="A24" s="2" t="s">
        <v>42</v>
      </c>
      <c r="B24" s="2">
        <f>VLOOKUP(A24,'Employee Master'!A:B,2,FALSE)</f>
      </c>
      <c r="C24" s="2" t="s">
        <v>28</v>
      </c>
      <c r="D24" s="2" t="s">
        <v>29</v>
      </c>
      <c r="E24" s="4">
        <v>8</v>
      </c>
      <c r="F24" s="4">
        <v>8</v>
      </c>
      <c r="G24" s="4">
        <v>8</v>
      </c>
      <c r="H24" s="4">
        <v>8</v>
      </c>
      <c r="I24" s="4">
        <v>8</v>
      </c>
      <c r="J24" s="4">
        <v>8</v>
      </c>
      <c r="K24" s="4">
        <v>8</v>
      </c>
      <c r="L24" s="4">
        <v>8</v>
      </c>
      <c r="M24" s="4">
        <v>8</v>
      </c>
      <c r="N24" s="4">
        <v>8</v>
      </c>
      <c r="O24" s="4">
        <v>8</v>
      </c>
      <c r="P24" s="4">
        <v>8</v>
      </c>
      <c r="Q24" s="4">
        <v>8</v>
      </c>
      <c r="R24" s="4">
        <v>8</v>
      </c>
      <c r="S24" s="4">
        <v>8</v>
      </c>
    </row>
    <row r="25" spans="1:19" x14ac:dyDescent="0.25">
      <c r="A25" t="s">
        <v>42</v>
      </c>
      <c r="B25">
        <f>VLOOKUP(A25,'Employee Master'!A:B,2,FALSE)</f>
      </c>
      <c r="C25" t="s">
        <v>28</v>
      </c>
      <c r="D25" t="s">
        <v>30</v>
      </c>
      <c r="E25" s="4">
        <v>2</v>
      </c>
      <c r="F25" s="4">
        <v>2</v>
      </c>
      <c r="G25" s="4">
        <v>2</v>
      </c>
      <c r="H25" s="4">
        <v>2</v>
      </c>
      <c r="I25" s="4">
        <v>2</v>
      </c>
      <c r="J25" s="4">
        <v>2</v>
      </c>
      <c r="K25" s="4">
        <v>2</v>
      </c>
      <c r="L25" s="4">
        <v>2</v>
      </c>
      <c r="M25" s="4">
        <v>2</v>
      </c>
      <c r="N25" s="4">
        <v>2</v>
      </c>
      <c r="O25" s="4">
        <v>2</v>
      </c>
      <c r="P25" s="4">
        <v>2</v>
      </c>
      <c r="Q25" s="4">
        <v>2</v>
      </c>
      <c r="R25" s="4">
        <v>2</v>
      </c>
      <c r="S25" s="4">
        <v>2</v>
      </c>
    </row>
    <row r="26" spans="1:19" x14ac:dyDescent="0.25">
      <c r="A26" s="2" t="s">
        <v>43</v>
      </c>
      <c r="B26" s="2">
        <f>VLOOKUP(A26,'Employee Master'!A:B,2,FALSE)</f>
      </c>
      <c r="C26" s="2" t="s">
        <v>32</v>
      </c>
      <c r="D26" s="2" t="s">
        <v>33</v>
      </c>
      <c r="E26" s="3">
        <v>40</v>
      </c>
      <c r="F26" s="3">
        <v>40</v>
      </c>
      <c r="G26" s="3">
        <v>40</v>
      </c>
      <c r="H26" s="3">
        <v>40</v>
      </c>
      <c r="I26" s="3">
        <v>40</v>
      </c>
      <c r="J26" s="3">
        <v>40</v>
      </c>
      <c r="K26" s="3">
        <v>40</v>
      </c>
      <c r="L26" s="3">
        <v>40</v>
      </c>
      <c r="M26" s="3">
        <v>40</v>
      </c>
      <c r="N26" s="3">
        <v>40</v>
      </c>
      <c r="O26" s="3">
        <v>40</v>
      </c>
      <c r="P26" s="3">
        <v>40</v>
      </c>
      <c r="Q26" s="3">
        <v>40</v>
      </c>
      <c r="R26" s="3">
        <v>40</v>
      </c>
      <c r="S26" s="3">
        <v>40</v>
      </c>
    </row>
    <row r="27" spans="1:19" x14ac:dyDescent="0.25">
      <c r="A27" t="s">
        <v>43</v>
      </c>
      <c r="B27">
        <f>VLOOKUP(A27,'Employee Master'!A:B,2,FALSE)</f>
      </c>
      <c r="C27" t="s">
        <v>32</v>
      </c>
      <c r="D27" t="s">
        <v>21</v>
      </c>
      <c r="E27" s="3">
        <v>5</v>
      </c>
      <c r="F27" s="3">
        <v>5</v>
      </c>
      <c r="G27" s="3">
        <v>5</v>
      </c>
      <c r="H27" s="3">
        <v>5</v>
      </c>
      <c r="I27" s="3">
        <v>5</v>
      </c>
      <c r="J27" s="3">
        <v>5</v>
      </c>
      <c r="K27" s="3">
        <v>5</v>
      </c>
      <c r="L27" s="3">
        <v>5</v>
      </c>
      <c r="M27" s="3">
        <v>5</v>
      </c>
      <c r="N27" s="3">
        <v>5</v>
      </c>
      <c r="O27" s="3">
        <v>5</v>
      </c>
      <c r="P27" s="3">
        <v>5</v>
      </c>
      <c r="Q27" s="3">
        <v>5</v>
      </c>
      <c r="R27" s="3">
        <v>5</v>
      </c>
      <c r="S27" s="3">
        <v>5</v>
      </c>
    </row>
    <row r="28" spans="1:19" x14ac:dyDescent="0.25">
      <c r="A28" s="2" t="s">
        <v>44</v>
      </c>
      <c r="B28" s="2">
        <f>VLOOKUP(A28,'Employee Master'!A:B,2,FALSE)</f>
      </c>
      <c r="C28" s="2" t="s">
        <v>20</v>
      </c>
      <c r="D28" s="2" t="s">
        <v>35</v>
      </c>
      <c r="E28" s="4">
        <v>16</v>
      </c>
      <c r="F28" s="4">
        <v>16</v>
      </c>
      <c r="G28" s="4">
        <v>16</v>
      </c>
      <c r="H28" s="4">
        <v>16</v>
      </c>
      <c r="I28" s="4">
        <v>16</v>
      </c>
      <c r="J28" s="4">
        <v>16</v>
      </c>
      <c r="K28" s="4">
        <v>16</v>
      </c>
      <c r="L28" s="4">
        <v>16</v>
      </c>
      <c r="M28" s="4">
        <v>16</v>
      </c>
      <c r="N28" s="4">
        <v>16</v>
      </c>
      <c r="O28" s="4">
        <v>16</v>
      </c>
      <c r="P28" s="4">
        <v>16</v>
      </c>
      <c r="Q28" s="4">
        <v>16</v>
      </c>
      <c r="R28" s="4">
        <v>16</v>
      </c>
      <c r="S28" s="4">
        <v>16</v>
      </c>
    </row>
    <row r="29" spans="1:19" x14ac:dyDescent="0.25">
      <c r="A29" t="s">
        <v>44</v>
      </c>
      <c r="B29">
        <f>VLOOKUP(A29,'Employee Master'!A:B,2,FALSE)</f>
      </c>
      <c r="C29" t="s">
        <v>28</v>
      </c>
      <c r="D29" t="s">
        <v>29</v>
      </c>
      <c r="E29" s="4">
        <v>4</v>
      </c>
      <c r="F29" s="4">
        <v>4</v>
      </c>
      <c r="G29" s="4">
        <v>4</v>
      </c>
      <c r="H29" s="4">
        <v>4</v>
      </c>
      <c r="I29" s="4">
        <v>4</v>
      </c>
      <c r="J29" s="4">
        <v>4</v>
      </c>
      <c r="K29" s="4">
        <v>4</v>
      </c>
      <c r="L29" s="4">
        <v>4</v>
      </c>
      <c r="M29" s="4">
        <v>4</v>
      </c>
      <c r="N29" s="4">
        <v>4</v>
      </c>
      <c r="O29" s="4">
        <v>4</v>
      </c>
      <c r="P29" s="4">
        <v>4</v>
      </c>
      <c r="Q29" s="4">
        <v>4</v>
      </c>
      <c r="R29" s="4">
        <v>4</v>
      </c>
      <c r="S29" s="4">
        <v>4</v>
      </c>
    </row>
    <row r="30" spans="1:19" x14ac:dyDescent="0.25">
      <c r="A30" s="2" t="s">
        <v>45</v>
      </c>
      <c r="B30" s="2">
        <f>VLOOKUP(A30,'Employee Master'!A:B,2,FALSE)</f>
      </c>
      <c r="C30" s="2" t="s">
        <v>24</v>
      </c>
      <c r="D30" s="2" t="s">
        <v>25</v>
      </c>
      <c r="E30" s="3">
        <v>40</v>
      </c>
      <c r="F30" s="3">
        <v>40</v>
      </c>
      <c r="G30" s="3">
        <v>40</v>
      </c>
      <c r="H30" s="3">
        <v>40</v>
      </c>
      <c r="I30" s="3">
        <v>40</v>
      </c>
      <c r="J30" s="3">
        <v>40</v>
      </c>
      <c r="K30" s="3">
        <v>40</v>
      </c>
      <c r="L30" s="3">
        <v>40</v>
      </c>
      <c r="M30" s="3">
        <v>40</v>
      </c>
      <c r="N30" s="3">
        <v>40</v>
      </c>
      <c r="O30" s="3">
        <v>40</v>
      </c>
      <c r="P30" s="3">
        <v>40</v>
      </c>
      <c r="Q30" s="3">
        <v>40</v>
      </c>
      <c r="R30" s="3">
        <v>40</v>
      </c>
      <c r="S30" s="3">
        <v>40</v>
      </c>
    </row>
    <row r="31" spans="1:19" x14ac:dyDescent="0.25">
      <c r="A31" t="s">
        <v>45</v>
      </c>
      <c r="B31">
        <f>VLOOKUP(A31,'Employee Master'!A:B,2,FALSE)</f>
      </c>
      <c r="C31" t="s">
        <v>28</v>
      </c>
      <c r="D31" t="s">
        <v>30</v>
      </c>
      <c r="E31" s="3">
        <v>5</v>
      </c>
      <c r="F31" s="3">
        <v>5</v>
      </c>
      <c r="G31" s="3">
        <v>5</v>
      </c>
      <c r="H31" s="3">
        <v>5</v>
      </c>
      <c r="I31" s="3">
        <v>5</v>
      </c>
      <c r="J31" s="3">
        <v>5</v>
      </c>
      <c r="K31" s="3">
        <v>5</v>
      </c>
      <c r="L31" s="3">
        <v>5</v>
      </c>
      <c r="M31" s="3">
        <v>5</v>
      </c>
      <c r="N31" s="3">
        <v>5</v>
      </c>
      <c r="O31" s="3">
        <v>5</v>
      </c>
      <c r="P31" s="3">
        <v>5</v>
      </c>
      <c r="Q31" s="3">
        <v>5</v>
      </c>
      <c r="R31" s="3">
        <v>5</v>
      </c>
      <c r="S31" s="3">
        <v>5</v>
      </c>
    </row>
  </sheetData>
  <dataValidations count="3">
    <dataValidation type="list" allowBlank="1" showErrorMessage="1" errorStyle="warning" errorTitle="Invalid value" error="Please select a value from the dropdown list." sqref="A2:A500">
      <formula1>'Employee Master'!$A$2:$A$16</formula1>
    </dataValidation>
    <dataValidation type="list" allowBlank="1" showErrorMessage="1" errorStyle="warning" errorTitle="Invalid value" error="Please select a value from the dropdown list." sqref="C2:C500">
      <formula1>'Skills Master'!$A$2:$A$5</formula1>
    </dataValidation>
    <dataValidation type="list" allowBlank="1" showErrorMessage="1" errorStyle="warning" errorTitle="Invalid value" error="Please select a value from the dropdown list." sqref="D2:D500">
      <formula1>'Project Master'!$B$2:$B$13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2" customWidth="1"/>
    <col min="2" max="2" width="20" customWidth="1"/>
    <col min="3" max="3" width="34" customWidth="1"/>
    <col min="4" max="6" width="14" customWidth="1"/>
  </cols>
  <sheetData>
    <row r="1" ht="30" customHeight="1" spans="1:6" x14ac:dyDescent="0.25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</row>
    <row r="2" spans="1:6" x14ac:dyDescent="0.25">
      <c r="A2" s="2" t="s">
        <v>21</v>
      </c>
      <c r="B2" s="2" t="s">
        <v>52</v>
      </c>
      <c r="C2" s="2" t="s">
        <v>20</v>
      </c>
      <c r="D2" s="7" t="s">
        <v>53</v>
      </c>
      <c r="E2" s="7" t="s">
        <v>54</v>
      </c>
      <c r="F2" s="7">
        <v>40</v>
      </c>
    </row>
    <row r="3" spans="1:6" x14ac:dyDescent="0.25">
      <c r="A3" t="s">
        <v>29</v>
      </c>
      <c r="B3" t="s">
        <v>55</v>
      </c>
      <c r="C3" t="s">
        <v>28</v>
      </c>
      <c r="D3" s="8" t="s">
        <v>56</v>
      </c>
      <c r="E3" s="8" t="s">
        <v>57</v>
      </c>
      <c r="F3" s="8">
        <v>40</v>
      </c>
    </row>
    <row r="4" spans="1:6" x14ac:dyDescent="0.25">
      <c r="A4" s="2" t="s">
        <v>25</v>
      </c>
      <c r="B4" s="2" t="s">
        <v>52</v>
      </c>
      <c r="C4" s="2" t="s">
        <v>24</v>
      </c>
      <c r="D4" s="7" t="s">
        <v>58</v>
      </c>
      <c r="E4" s="7" t="s">
        <v>59</v>
      </c>
      <c r="F4" s="7">
        <v>30</v>
      </c>
    </row>
    <row r="5" spans="1:6" x14ac:dyDescent="0.25">
      <c r="A5" t="s">
        <v>35</v>
      </c>
      <c r="B5" t="s">
        <v>60</v>
      </c>
      <c r="C5" t="s">
        <v>20</v>
      </c>
      <c r="D5" s="8" t="s">
        <v>61</v>
      </c>
      <c r="E5" s="8" t="s">
        <v>62</v>
      </c>
      <c r="F5" s="8">
        <v>30</v>
      </c>
    </row>
    <row r="6" spans="1:6" x14ac:dyDescent="0.25">
      <c r="A6" s="2" t="s">
        <v>33</v>
      </c>
      <c r="B6" s="2" t="s">
        <v>52</v>
      </c>
      <c r="C6" s="2" t="s">
        <v>32</v>
      </c>
      <c r="D6" s="7" t="s">
        <v>63</v>
      </c>
      <c r="E6" s="7" t="s">
        <v>64</v>
      </c>
      <c r="F6" s="7">
        <v>40</v>
      </c>
    </row>
    <row r="7" spans="1:6" x14ac:dyDescent="0.25">
      <c r="A7" t="s">
        <v>30</v>
      </c>
      <c r="B7" t="s">
        <v>55</v>
      </c>
      <c r="C7" t="s">
        <v>20</v>
      </c>
      <c r="D7" s="8" t="s">
        <v>53</v>
      </c>
      <c r="E7" s="8" t="s">
        <v>54</v>
      </c>
      <c r="F7" s="8">
        <v>30</v>
      </c>
    </row>
    <row r="8" spans="1:6" x14ac:dyDescent="0.25">
      <c r="A8" s="2" t="s">
        <v>65</v>
      </c>
      <c r="B8" s="2" t="s">
        <v>66</v>
      </c>
      <c r="C8" s="2" t="s">
        <v>24</v>
      </c>
      <c r="D8" s="7" t="s">
        <v>67</v>
      </c>
      <c r="E8" s="7" t="s">
        <v>68</v>
      </c>
      <c r="F8" s="7">
        <v>20</v>
      </c>
    </row>
    <row r="9" spans="1:6" x14ac:dyDescent="0.25">
      <c r="A9" t="s">
        <v>69</v>
      </c>
      <c r="B9" t="s">
        <v>70</v>
      </c>
      <c r="C9" t="s">
        <v>28</v>
      </c>
      <c r="D9" s="8" t="s">
        <v>58</v>
      </c>
      <c r="E9" s="8" t="s">
        <v>71</v>
      </c>
      <c r="F9" s="8">
        <v>20</v>
      </c>
    </row>
  </sheetData>
  <dataValidations count="3">
    <dataValidation type="list" allowBlank="1" showErrorMessage="1" errorStyle="warning" errorTitle="Invalid value" error="Please select a value from the dropdown list." sqref="A2:A500">
      <formula1>'Project Master'!$B$2:$B$13</formula1>
    </dataValidation>
    <dataValidation type="list" allowBlank="1" showErrorMessage="1" errorStyle="warning" errorTitle="Invalid value" error="Please select a value from the dropdown list." sqref="B2:B500">
      <formula1>'Resource Levels'!$A$2:$A$7</formula1>
    </dataValidation>
    <dataValidation type="list" allowBlank="1" showErrorMessage="1" errorStyle="warning" errorTitle="Invalid value" error="Please select a value from the dropdown list." sqref="C2:C500">
      <formula1>'Skills Master'!$A$2:$A$5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0" customWidth="1"/>
  </cols>
  <sheetData>
    <row r="1" ht="30" customHeight="1" spans="1:2" x14ac:dyDescent="0.25">
      <c r="A1" s="1" t="s">
        <v>0</v>
      </c>
      <c r="B1" s="1" t="s">
        <v>1</v>
      </c>
    </row>
    <row r="2" spans="1:2" x14ac:dyDescent="0.25">
      <c r="A2" s="2" t="s">
        <v>19</v>
      </c>
      <c r="B2" s="2" t="s">
        <v>72</v>
      </c>
    </row>
    <row r="3" spans="1:2" x14ac:dyDescent="0.25">
      <c r="A3" t="s">
        <v>23</v>
      </c>
      <c r="B3" t="s">
        <v>66</v>
      </c>
    </row>
    <row r="4" spans="1:2" x14ac:dyDescent="0.25">
      <c r="A4" s="2" t="s">
        <v>27</v>
      </c>
      <c r="B4" s="2" t="s">
        <v>66</v>
      </c>
    </row>
    <row r="5" spans="1:2" x14ac:dyDescent="0.25">
      <c r="A5" t="s">
        <v>31</v>
      </c>
      <c r="B5" t="s">
        <v>60</v>
      </c>
    </row>
    <row r="6" spans="1:2" x14ac:dyDescent="0.25">
      <c r="A6" s="2" t="s">
        <v>34</v>
      </c>
      <c r="B6" s="2" t="s">
        <v>60</v>
      </c>
    </row>
    <row r="7" spans="1:2" x14ac:dyDescent="0.25">
      <c r="A7" t="s">
        <v>36</v>
      </c>
      <c r="B7" t="s">
        <v>60</v>
      </c>
    </row>
    <row r="8" spans="1:2" x14ac:dyDescent="0.25">
      <c r="A8" s="2" t="s">
        <v>37</v>
      </c>
      <c r="B8" s="2" t="s">
        <v>52</v>
      </c>
    </row>
    <row r="9" spans="1:2" x14ac:dyDescent="0.25">
      <c r="A9" t="s">
        <v>38</v>
      </c>
      <c r="B9" t="s">
        <v>52</v>
      </c>
    </row>
    <row r="10" spans="1:2" x14ac:dyDescent="0.25">
      <c r="A10" s="2" t="s">
        <v>39</v>
      </c>
      <c r="B10" s="2" t="s">
        <v>52</v>
      </c>
    </row>
    <row r="11" spans="1:2" x14ac:dyDescent="0.25">
      <c r="A11" t="s">
        <v>40</v>
      </c>
      <c r="B11" t="s">
        <v>55</v>
      </c>
    </row>
    <row r="12" spans="1:2" x14ac:dyDescent="0.25">
      <c r="A12" s="2" t="s">
        <v>41</v>
      </c>
      <c r="B12" s="2" t="s">
        <v>55</v>
      </c>
    </row>
    <row r="13" spans="1:2" x14ac:dyDescent="0.25">
      <c r="A13" t="s">
        <v>42</v>
      </c>
      <c r="B13" t="s">
        <v>55</v>
      </c>
    </row>
    <row r="14" spans="1:2" x14ac:dyDescent="0.25">
      <c r="A14" s="2" t="s">
        <v>43</v>
      </c>
      <c r="B14" s="2" t="s">
        <v>70</v>
      </c>
    </row>
    <row r="15" spans="1:2" x14ac:dyDescent="0.25">
      <c r="A15" t="s">
        <v>44</v>
      </c>
      <c r="B15" t="s">
        <v>70</v>
      </c>
    </row>
    <row r="16" spans="1:2" x14ac:dyDescent="0.25">
      <c r="A16" s="2" t="s">
        <v>45</v>
      </c>
      <c r="B16" s="2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</cols>
  <sheetData>
    <row r="1" ht="30" customHeight="1" spans="1:1" x14ac:dyDescent="0.25">
      <c r="A1" s="1" t="s">
        <v>2</v>
      </c>
    </row>
    <row r="2" spans="1:1" x14ac:dyDescent="0.25">
      <c r="A2" s="2" t="s">
        <v>20</v>
      </c>
    </row>
    <row r="3" spans="1:1" x14ac:dyDescent="0.25">
      <c r="A3" t="s">
        <v>32</v>
      </c>
    </row>
    <row r="4" spans="1:1" x14ac:dyDescent="0.25">
      <c r="A4" s="2" t="s">
        <v>28</v>
      </c>
    </row>
    <row r="5" spans="1:1" x14ac:dyDescent="0.25">
      <c r="A5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</cols>
  <sheetData>
    <row r="1" ht="30" customHeight="1" spans="1:1" x14ac:dyDescent="0.25">
      <c r="A1" s="1" t="s">
        <v>1</v>
      </c>
    </row>
    <row r="2" spans="1:1" x14ac:dyDescent="0.25">
      <c r="A2" s="2" t="s">
        <v>70</v>
      </c>
    </row>
    <row r="3" spans="1:1" x14ac:dyDescent="0.25">
      <c r="A3" t="s">
        <v>55</v>
      </c>
    </row>
    <row r="4" spans="1:1" x14ac:dyDescent="0.25">
      <c r="A4" s="2" t="s">
        <v>52</v>
      </c>
    </row>
    <row r="5" spans="1:1" x14ac:dyDescent="0.25">
      <c r="A5" t="s">
        <v>60</v>
      </c>
    </row>
    <row r="6" spans="1:1" x14ac:dyDescent="0.25">
      <c r="A6" s="2" t="s">
        <v>66</v>
      </c>
    </row>
    <row r="7" spans="1:1" x14ac:dyDescent="0.25">
      <c r="A7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52" customWidth="1"/>
  </cols>
  <sheetData>
    <row r="1" ht="30" customHeight="1" spans="1:2" x14ac:dyDescent="0.25">
      <c r="A1" s="1" t="s">
        <v>73</v>
      </c>
      <c r="B1" s="1" t="s">
        <v>74</v>
      </c>
    </row>
    <row r="2" spans="1:2" x14ac:dyDescent="0.25">
      <c r="A2" s="2" t="s">
        <v>75</v>
      </c>
      <c r="B2" s="2" t="s">
        <v>21</v>
      </c>
    </row>
    <row r="3" spans="1:2" x14ac:dyDescent="0.25">
      <c r="A3" t="s">
        <v>76</v>
      </c>
      <c r="B3" t="s">
        <v>29</v>
      </c>
    </row>
    <row r="4" spans="1:2" x14ac:dyDescent="0.25">
      <c r="A4" s="2" t="s">
        <v>77</v>
      </c>
      <c r="B4" s="2" t="s">
        <v>25</v>
      </c>
    </row>
    <row r="5" spans="1:2" x14ac:dyDescent="0.25">
      <c r="A5" t="s">
        <v>78</v>
      </c>
      <c r="B5" t="s">
        <v>35</v>
      </c>
    </row>
    <row r="6" spans="1:2" x14ac:dyDescent="0.25">
      <c r="A6" s="2" t="s">
        <v>79</v>
      </c>
      <c r="B6" s="2" t="s">
        <v>33</v>
      </c>
    </row>
    <row r="7" spans="1:2" x14ac:dyDescent="0.25">
      <c r="A7" t="s">
        <v>80</v>
      </c>
      <c r="B7" t="s">
        <v>30</v>
      </c>
    </row>
    <row r="8" spans="1:2" x14ac:dyDescent="0.25">
      <c r="A8" s="2" t="s">
        <v>81</v>
      </c>
      <c r="B8" s="2" t="s">
        <v>22</v>
      </c>
    </row>
    <row r="9" spans="1:2" x14ac:dyDescent="0.25">
      <c r="A9" t="s">
        <v>82</v>
      </c>
      <c r="B9" t="s">
        <v>26</v>
      </c>
    </row>
    <row r="10" spans="1:2" x14ac:dyDescent="0.25">
      <c r="A10" s="2" t="s">
        <v>83</v>
      </c>
      <c r="B10" s="2" t="s">
        <v>65</v>
      </c>
    </row>
    <row r="11" spans="1:2" x14ac:dyDescent="0.25">
      <c r="A11" t="s">
        <v>84</v>
      </c>
      <c r="B11" t="s">
        <v>69</v>
      </c>
    </row>
    <row r="12" spans="1:2" x14ac:dyDescent="0.25">
      <c r="A12" s="2" t="s">
        <v>85</v>
      </c>
      <c r="B12" s="2" t="s">
        <v>86</v>
      </c>
    </row>
    <row r="13" spans="1:2" x14ac:dyDescent="0.25">
      <c r="A13" t="s">
        <v>87</v>
      </c>
      <c r="B13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Supply</vt:lpstr>
      <vt:lpstr>Demand</vt:lpstr>
      <vt:lpstr>Employee Master</vt:lpstr>
      <vt:lpstr>Skills Master</vt:lpstr>
      <vt:lpstr>Resource Levels</vt:lpstr>
      <vt:lpstr>Project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Staffing App</dc:creator>
  <dc:title/>
  <dc:subject/>
  <dc:description/>
  <cp:keywords/>
  <cp:category/>
  <cp:lastModifiedBy>Unknown</cp:lastModifiedBy>
  <dcterms:created xsi:type="dcterms:W3CDTF">2026-03-19T15:48:07Z</dcterms:created>
  <dcterms:modified xsi:type="dcterms:W3CDTF">2026-03-19T15:48:07Z</dcterms:modified>
</cp:coreProperties>
</file>