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Supply" state="visible" r:id="rId4"/>
    <sheet sheetId="2" name="Demand" state="visible" r:id="rId5"/>
    <sheet sheetId="3" name="Employee Master" state="visible" r:id="rId6"/>
    <sheet sheetId="4" name="Skills Master" state="visible" r:id="rId7"/>
    <sheet sheetId="5" name="Resource Levels" state="visible" r:id="rId8"/>
    <sheet sheetId="6" name="Project Master" state="visible" r:id="rId9"/>
  </sheets>
  <calcPr calcId="171027"/>
</workbook>
</file>

<file path=xl/sharedStrings.xml><?xml version="1.0" encoding="utf-8"?>
<sst xmlns="http://schemas.openxmlformats.org/spreadsheetml/2006/main" count="312" uniqueCount="133">
  <si>
    <t>Employee Name</t>
  </si>
  <si>
    <t>Level</t>
  </si>
  <si>
    <t>Skill Set</t>
  </si>
  <si>
    <t>Project Assigned</t>
  </si>
  <si>
    <t>Week ending 3/21</t>
  </si>
  <si>
    <t>Week ending 3/28</t>
  </si>
  <si>
    <t>Week ending 4/4</t>
  </si>
  <si>
    <t>Week ending 4/11</t>
  </si>
  <si>
    <t>Week ending 4/18</t>
  </si>
  <si>
    <t>Week ending 4/25</t>
  </si>
  <si>
    <t>Week ending 5/2</t>
  </si>
  <si>
    <t>Week ending 5/9</t>
  </si>
  <si>
    <t>Week ending 5/16</t>
  </si>
  <si>
    <t>Week ending 5/23</t>
  </si>
  <si>
    <t>Week ending 5/30</t>
  </si>
  <si>
    <t>Week ending 6/6</t>
  </si>
  <si>
    <t>Abdesattar Karim</t>
  </si>
  <si>
    <t>NetSuite - Record to Report</t>
  </si>
  <si>
    <t>Bank Integration</t>
  </si>
  <si>
    <t>P2P</t>
  </si>
  <si>
    <t>Benjamin Liu</t>
  </si>
  <si>
    <t>NetSuite - Procure to Pay</t>
  </si>
  <si>
    <t>Accounting</t>
  </si>
  <si>
    <t>R2R</t>
  </si>
  <si>
    <t>Christine Chen</t>
  </si>
  <si>
    <t>NetSuite - Order to Cash</t>
  </si>
  <si>
    <t>NetSuite Implementation</t>
  </si>
  <si>
    <t>Crystal Brent</t>
  </si>
  <si>
    <t>NetSuite - Supply Chain</t>
  </si>
  <si>
    <t>Delaney O'Neil</t>
  </si>
  <si>
    <t>Pigment</t>
  </si>
  <si>
    <t>Unassigned</t>
  </si>
  <si>
    <t>Ethan Osborne</t>
  </si>
  <si>
    <t>Phase 0</t>
  </si>
  <si>
    <t>Grace Schwieters</t>
  </si>
  <si>
    <t>Phase 1</t>
  </si>
  <si>
    <t>Phase 0 Design</t>
  </si>
  <si>
    <t>Hannah Imhoff</t>
  </si>
  <si>
    <t>NS Implementation</t>
  </si>
  <si>
    <t>O2C Analyst</t>
  </si>
  <si>
    <t>Jake Johnsen</t>
  </si>
  <si>
    <t>Julie Loiben</t>
  </si>
  <si>
    <t>Flare</t>
  </si>
  <si>
    <t>Katharine Yu</t>
  </si>
  <si>
    <t>Lance Falk</t>
  </si>
  <si>
    <t>Grub WBS</t>
  </si>
  <si>
    <t>Lexie Dutch</t>
  </si>
  <si>
    <t>Marcy Minnerly</t>
  </si>
  <si>
    <t>Secondment</t>
  </si>
  <si>
    <t>Mario DeFelice</t>
  </si>
  <si>
    <t>Evaluation</t>
  </si>
  <si>
    <t>ERP Evaluation</t>
  </si>
  <si>
    <t>Melissa Cross</t>
  </si>
  <si>
    <t>L2C Assessment</t>
  </si>
  <si>
    <t>Assessment</t>
  </si>
  <si>
    <t>Melissa Leighton</t>
  </si>
  <si>
    <t>Neeraj Rajendran</t>
  </si>
  <si>
    <t>Sui Foundation</t>
  </si>
  <si>
    <t>Nick Hernandez</t>
  </si>
  <si>
    <t>Nick Kolbow</t>
  </si>
  <si>
    <t>Ryan Artz</t>
  </si>
  <si>
    <t>Arevon</t>
  </si>
  <si>
    <t>BlankStreet Advisory</t>
  </si>
  <si>
    <t>Procore Advisory</t>
  </si>
  <si>
    <t>Operate</t>
  </si>
  <si>
    <t>Sammy Latif</t>
  </si>
  <si>
    <t>Shreyas Sampath</t>
  </si>
  <si>
    <t>SuiteBilling Implementation</t>
  </si>
  <si>
    <t>SuiteProjects Advisory</t>
  </si>
  <si>
    <t>Pigment Implementation</t>
  </si>
  <si>
    <t>Tim Callesen</t>
  </si>
  <si>
    <t>Zareen Khan</t>
  </si>
  <si>
    <t>Project/Client Name</t>
  </si>
  <si>
    <t>Resource Level</t>
  </si>
  <si>
    <t>Resource Skill Set</t>
  </si>
  <si>
    <t>Start Date</t>
  </si>
  <si>
    <t>End Date</t>
  </si>
  <si>
    <t>Hours Per Week</t>
  </si>
  <si>
    <t>Harrington Manufacturing – NetSuite ERP Implementation</t>
  </si>
  <si>
    <t>Senior Consultant</t>
  </si>
  <si>
    <t>04/01/2026</t>
  </si>
  <si>
    <t>06/30/2026</t>
  </si>
  <si>
    <t>Clearwater Retail – O2C Optimization</t>
  </si>
  <si>
    <t>Consultant</t>
  </si>
  <si>
    <t>03/20/2026</t>
  </si>
  <si>
    <t>05/31/2026</t>
  </si>
  <si>
    <t>Pinnacle Logistics – Supply Chain Rollout</t>
  </si>
  <si>
    <t>03/21/2026</t>
  </si>
  <si>
    <t>06/27/2026</t>
  </si>
  <si>
    <t>Meridian Financial – R2R Consolidation</t>
  </si>
  <si>
    <t>Manager</t>
  </si>
  <si>
    <t>05/01/2026</t>
  </si>
  <si>
    <t>07/31/2026</t>
  </si>
  <si>
    <t>Summit Healthcare – P2P Upgrade</t>
  </si>
  <si>
    <t>04/15/2026</t>
  </si>
  <si>
    <t>07/15/2026</t>
  </si>
  <si>
    <t>Vantage Distribution – Full Suite Implementation</t>
  </si>
  <si>
    <t>Apex Pharma – NetSuite Assessment</t>
  </si>
  <si>
    <t>Senior Manager</t>
  </si>
  <si>
    <t>05/15/2026</t>
  </si>
  <si>
    <t>08/31/2026</t>
  </si>
  <si>
    <t>Internal – Pre-Sales Support</t>
  </si>
  <si>
    <t>Analyst</t>
  </si>
  <si>
    <t>05/30/2026</t>
  </si>
  <si>
    <t>Partner/MD</t>
  </si>
  <si>
    <t>Project ID</t>
  </si>
  <si>
    <t>Project Name</t>
  </si>
  <si>
    <t>P001</t>
  </si>
  <si>
    <t>P002</t>
  </si>
  <si>
    <t>P003</t>
  </si>
  <si>
    <t>P004</t>
  </si>
  <si>
    <t>P005</t>
  </si>
  <si>
    <t>P006</t>
  </si>
  <si>
    <t>P007</t>
  </si>
  <si>
    <t>P008</t>
  </si>
  <si>
    <t>P009</t>
  </si>
  <si>
    <t>P010</t>
  </si>
  <si>
    <t>P011</t>
  </si>
  <si>
    <t>P012</t>
  </si>
  <si>
    <t>P013</t>
  </si>
  <si>
    <t>P014</t>
  </si>
  <si>
    <t>P015</t>
  </si>
  <si>
    <t>P016</t>
  </si>
  <si>
    <t>P017</t>
  </si>
  <si>
    <t>P018</t>
  </si>
  <si>
    <t>P019</t>
  </si>
  <si>
    <t>P020</t>
  </si>
  <si>
    <t>P021</t>
  </si>
  <si>
    <t>P022</t>
  </si>
  <si>
    <t>P023</t>
  </si>
  <si>
    <t>P024</t>
  </si>
  <si>
    <t>P025</t>
  </si>
  <si>
    <t>P026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</si>
</sst>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8B0000"/>
      </patternFill>
    </fill>
    <fill>
      <patternFill patternType="solid">
        <fgColor rgb="FFFFB3B3"/>
      </patternFill>
    </fill>
    <fill>
      <patternFill patternType="solid">
        <fgColor rgb="FFFFF3A3"/>
      </patternFill>
    </fill>
    <fill>
      <patternFill patternType="solid">
        <fgColor rgb="FFA8E6CF"/>
      </patternFill>
    </fill>
    <fill>
      <patternFill patternType="solid">
        <fgColor rgb="FF2F5496"/>
      </patternFill>
    </fill>
    <fill>
      <patternFill patternType="solid">
        <fgColor rgb="FFE9EFF7"/>
      </patternFill>
    </fill>
  </fills>
  <borders count="2"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6" borderId="1" xfId="0" applyFont="1" applyFill="1" applyBorder="1" applyAlignment="1">
      <alignment horizontal="center" vertical="center" wrapText="1"/>
    </xf>
    <xf numFmtId="0" fontId="0" fillId="7" borderId="0" xfId="0" applyFill="1"/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5"/>
  <sheetViews>
    <sheetView workbookViewId="0" zoomScale="100" zoomScaleNormal="100">
      <pane xSplit="4" ySplit="1" topLeftCell="E2" activePane="bottomRight" state="frozen"/>
      <selection pane="bottomRight" activeCell="F26" sqref="F26"/>
    </sheetView>
  </sheetViews>
  <sheetFormatPr defaultRowHeight="15" outlineLevelRow="0" outlineLevelCol="0" x14ac:dyDescent="0.25"/>
  <cols>
    <col min="1" max="1" width="24" customWidth="1"/>
    <col min="2" max="2" width="20" customWidth="1"/>
    <col min="3" max="3" width="34" customWidth="1"/>
    <col min="4" max="4" width="52" customWidth="1"/>
    <col min="5" max="19" width="14" customWidth="1"/>
  </cols>
  <sheetData>
    <row r="1" ht="30" customHeight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25">
      <c r="A2" t="s">
        <v>16</v>
      </c>
      <c r="B2" t="str">
        <f>=VLOOKUP(A2,'Employee Master'!$A:$B,2,FALSE)</f>
        <v>Consultant</v>
      </c>
      <c r="C2" t="s">
        <v>17</v>
      </c>
      <c r="D2" t="s">
        <v>18</v>
      </c>
      <c r="E2" s="1">
        <v>0</v>
      </c>
      <c r="F2" s="2">
        <v>10</v>
      </c>
      <c r="G2" s="2">
        <v>10</v>
      </c>
      <c r="H2" s="2">
        <v>10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</row>
    <row r="3" spans="1:16" x14ac:dyDescent="0.25">
      <c r="A3" t="s">
        <v>16</v>
      </c>
      <c r="B3" t="str">
        <f>=VLOOKUP(A3,'Employee Master'!$A:$B,2,FALSE)</f>
        <v>Consultant</v>
      </c>
      <c r="C3" t="s">
        <v>17</v>
      </c>
      <c r="D3" t="s">
        <v>19</v>
      </c>
      <c r="E3" s="3">
        <v>40</v>
      </c>
      <c r="F3" s="2">
        <v>30</v>
      </c>
      <c r="G3" s="2">
        <v>30</v>
      </c>
      <c r="H3" s="2">
        <v>30</v>
      </c>
      <c r="I3" s="3">
        <v>40</v>
      </c>
      <c r="J3" s="3">
        <v>40</v>
      </c>
      <c r="K3" s="3">
        <v>40</v>
      </c>
      <c r="L3" s="3">
        <v>40</v>
      </c>
      <c r="M3" s="3">
        <v>40</v>
      </c>
      <c r="N3" s="3">
        <v>40</v>
      </c>
      <c r="O3" s="3">
        <v>40</v>
      </c>
      <c r="P3" s="1">
        <v>0</v>
      </c>
    </row>
    <row r="4" spans="1:16" x14ac:dyDescent="0.25">
      <c r="A4" t="s">
        <v>20</v>
      </c>
      <c r="B4" t="str">
        <f>=VLOOKUP(A4,'Employee Master'!$A:$B,2,FALSE)</f>
        <v>Manager</v>
      </c>
      <c r="C4" t="s">
        <v>21</v>
      </c>
      <c r="D4" t="s">
        <v>22</v>
      </c>
      <c r="E4" s="2">
        <v>20</v>
      </c>
      <c r="F4" s="2">
        <v>20</v>
      </c>
      <c r="G4" s="2">
        <v>20</v>
      </c>
      <c r="H4" s="2">
        <v>20</v>
      </c>
      <c r="I4" s="2">
        <v>20</v>
      </c>
      <c r="J4" s="2">
        <v>20</v>
      </c>
      <c r="K4" s="2">
        <v>20</v>
      </c>
      <c r="L4" s="2">
        <v>20</v>
      </c>
      <c r="M4" s="2">
        <v>20</v>
      </c>
      <c r="N4" s="2">
        <v>20</v>
      </c>
      <c r="O4" s="2">
        <v>20</v>
      </c>
      <c r="P4" s="1">
        <v>0</v>
      </c>
    </row>
    <row r="5" spans="1:16" x14ac:dyDescent="0.25">
      <c r="A5" t="s">
        <v>20</v>
      </c>
      <c r="B5" t="str">
        <f>=VLOOKUP(A5,'Employee Master'!$A:$B,2,FALSE)</f>
        <v>Manager</v>
      </c>
      <c r="C5" t="s">
        <v>21</v>
      </c>
      <c r="D5" t="s">
        <v>23</v>
      </c>
      <c r="E5" s="2">
        <v>20</v>
      </c>
      <c r="F5" s="2">
        <v>20</v>
      </c>
      <c r="G5" s="2">
        <v>20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</row>
    <row r="6" spans="1:16" x14ac:dyDescent="0.25">
      <c r="A6" t="s">
        <v>24</v>
      </c>
      <c r="B6" t="str">
        <f>=VLOOKUP(A6,'Employee Master'!$A:$B,2,FALSE)</f>
        <v>Manager</v>
      </c>
      <c r="C6" t="s">
        <v>25</v>
      </c>
      <c r="D6" t="s">
        <v>26</v>
      </c>
      <c r="E6" s="3">
        <v>40</v>
      </c>
      <c r="F6" s="3">
        <v>40</v>
      </c>
      <c r="G6" s="3">
        <v>40</v>
      </c>
      <c r="H6" s="3">
        <v>40</v>
      </c>
      <c r="I6" s="3">
        <v>40</v>
      </c>
      <c r="J6" s="3">
        <v>40</v>
      </c>
      <c r="K6" s="3">
        <v>40</v>
      </c>
      <c r="L6" s="3">
        <v>40</v>
      </c>
      <c r="M6" s="3">
        <v>40</v>
      </c>
      <c r="N6" s="3">
        <v>40</v>
      </c>
      <c r="O6" s="3">
        <v>40</v>
      </c>
      <c r="P6" s="1">
        <v>0</v>
      </c>
    </row>
    <row r="7" spans="1:16" x14ac:dyDescent="0.25">
      <c r="A7" t="s">
        <v>27</v>
      </c>
      <c r="B7" t="str">
        <f>=VLOOKUP(A7,'Employee Master'!$A:$B,2,FALSE)</f>
        <v>Senior Consultant</v>
      </c>
      <c r="C7" t="s">
        <v>28</v>
      </c>
      <c r="D7" t="s">
        <v>26</v>
      </c>
      <c r="E7" s="3">
        <v>40</v>
      </c>
      <c r="F7" s="3">
        <v>40</v>
      </c>
      <c r="G7" s="3">
        <v>40</v>
      </c>
      <c r="H7" s="3">
        <v>40</v>
      </c>
      <c r="I7" s="3">
        <v>40</v>
      </c>
      <c r="J7" s="3">
        <v>40</v>
      </c>
      <c r="K7" s="3">
        <v>40</v>
      </c>
      <c r="L7" s="3">
        <v>40</v>
      </c>
      <c r="M7" s="3">
        <v>40</v>
      </c>
      <c r="N7" s="3">
        <v>40</v>
      </c>
      <c r="O7" s="3">
        <v>40</v>
      </c>
      <c r="P7" s="1">
        <v>0</v>
      </c>
    </row>
    <row r="8" spans="1:16" x14ac:dyDescent="0.25">
      <c r="A8" t="s">
        <v>29</v>
      </c>
      <c r="B8" t="str">
        <f>=VLOOKUP(A8,'Employee Master'!$A:$B,2,FALSE)</f>
        <v>Senior Consultant</v>
      </c>
      <c r="C8" t="s">
        <v>30</v>
      </c>
      <c r="D8" t="s">
        <v>31</v>
      </c>
      <c r="E8" s="3">
        <v>40</v>
      </c>
      <c r="F8" s="3">
        <v>40</v>
      </c>
      <c r="G8" s="3">
        <v>40</v>
      </c>
      <c r="H8" s="3">
        <v>40</v>
      </c>
      <c r="I8" s="3">
        <v>40</v>
      </c>
      <c r="J8" s="3">
        <v>40</v>
      </c>
      <c r="K8" s="3">
        <v>40</v>
      </c>
      <c r="L8" s="3">
        <v>40</v>
      </c>
      <c r="M8" s="3">
        <v>40</v>
      </c>
      <c r="N8" s="3">
        <v>40</v>
      </c>
      <c r="O8" s="3">
        <v>40</v>
      </c>
      <c r="P8" s="1">
        <v>0</v>
      </c>
    </row>
    <row r="9" spans="1:16" x14ac:dyDescent="0.25">
      <c r="A9" t="s">
        <v>32</v>
      </c>
      <c r="B9" t="str">
        <f>=VLOOKUP(A9,'Employee Master'!$A:$B,2,FALSE)</f>
        <v>Senior Consultant</v>
      </c>
      <c r="C9" t="s">
        <v>17</v>
      </c>
      <c r="D9" t="s">
        <v>33</v>
      </c>
      <c r="E9" s="3">
        <v>40</v>
      </c>
      <c r="F9" s="3">
        <v>40</v>
      </c>
      <c r="G9" s="3">
        <v>40</v>
      </c>
      <c r="H9" s="3">
        <v>40</v>
      </c>
      <c r="I9" s="3">
        <v>40</v>
      </c>
      <c r="J9" s="3">
        <v>40</v>
      </c>
      <c r="K9" s="3">
        <v>40</v>
      </c>
      <c r="L9" s="3">
        <v>40</v>
      </c>
      <c r="M9" s="3">
        <v>40</v>
      </c>
      <c r="N9" s="3">
        <v>40</v>
      </c>
      <c r="O9" s="3">
        <v>40</v>
      </c>
      <c r="P9" s="1">
        <v>0</v>
      </c>
    </row>
    <row r="10" spans="1:16" x14ac:dyDescent="0.25">
      <c r="A10" t="s">
        <v>34</v>
      </c>
      <c r="B10" t="str">
        <f>=VLOOKUP(A10,'Employee Master'!$A:$B,2,FALSE)</f>
        <v>Analyst</v>
      </c>
      <c r="C10" t="s">
        <v>21</v>
      </c>
      <c r="D10" t="s">
        <v>35</v>
      </c>
      <c r="E10" s="1">
        <v>0</v>
      </c>
      <c r="F10" s="3">
        <v>40</v>
      </c>
      <c r="G10" s="3">
        <v>40</v>
      </c>
      <c r="H10" s="3">
        <v>40</v>
      </c>
      <c r="I10" s="3">
        <v>40</v>
      </c>
      <c r="J10" s="3">
        <v>40</v>
      </c>
      <c r="K10" s="3">
        <v>40</v>
      </c>
      <c r="L10" s="3">
        <v>40</v>
      </c>
      <c r="M10" s="3">
        <v>40</v>
      </c>
      <c r="N10" s="3">
        <v>40</v>
      </c>
      <c r="O10" s="3">
        <v>40</v>
      </c>
      <c r="P10" s="1">
        <v>0</v>
      </c>
    </row>
    <row r="11" spans="1:16" x14ac:dyDescent="0.25">
      <c r="A11" t="s">
        <v>34</v>
      </c>
      <c r="B11" t="str">
        <f>=VLOOKUP(A11,'Employee Master'!$A:$B,2,FALSE)</f>
        <v>Analyst</v>
      </c>
      <c r="C11" t="s">
        <v>21</v>
      </c>
      <c r="D11" t="s">
        <v>36</v>
      </c>
      <c r="E11" s="4">
        <v>45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</row>
    <row r="12" spans="1:16" x14ac:dyDescent="0.25">
      <c r="A12" t="s">
        <v>37</v>
      </c>
      <c r="B12" t="str">
        <f>=VLOOKUP(A12,'Employee Master'!$A:$B,2,FALSE)</f>
        <v>Analyst</v>
      </c>
      <c r="C12" t="s">
        <v>25</v>
      </c>
      <c r="D12" t="s">
        <v>38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</row>
    <row r="13" spans="1:16" x14ac:dyDescent="0.25">
      <c r="A13" t="s">
        <v>37</v>
      </c>
      <c r="B13" t="str">
        <f>=VLOOKUP(A13,'Employee Master'!$A:$B,2,FALSE)</f>
        <v>Analyst</v>
      </c>
      <c r="C13" t="s">
        <v>25</v>
      </c>
      <c r="D13" t="s">
        <v>18</v>
      </c>
      <c r="E13" s="1">
        <v>0</v>
      </c>
      <c r="F13" s="2">
        <v>10</v>
      </c>
      <c r="G13" s="2">
        <v>10</v>
      </c>
      <c r="H13" s="2">
        <v>10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</row>
    <row r="14" spans="1:16" x14ac:dyDescent="0.25">
      <c r="A14" t="s">
        <v>37</v>
      </c>
      <c r="B14" t="str">
        <f>=VLOOKUP(A14,'Employee Master'!$A:$B,2,FALSE)</f>
        <v>Analyst</v>
      </c>
      <c r="C14" t="s">
        <v>25</v>
      </c>
      <c r="D14" t="s">
        <v>39</v>
      </c>
      <c r="E14" s="3">
        <v>40</v>
      </c>
      <c r="F14" s="2">
        <v>30</v>
      </c>
      <c r="G14" s="2">
        <v>30</v>
      </c>
      <c r="H14" s="2">
        <v>30</v>
      </c>
      <c r="I14" s="3">
        <v>40</v>
      </c>
      <c r="J14" s="3">
        <v>40</v>
      </c>
      <c r="K14" s="3">
        <v>40</v>
      </c>
      <c r="L14" s="3">
        <v>40</v>
      </c>
      <c r="M14" s="3">
        <v>40</v>
      </c>
      <c r="N14" s="3">
        <v>40</v>
      </c>
      <c r="O14" s="3">
        <v>40</v>
      </c>
      <c r="P14" s="1">
        <v>0</v>
      </c>
    </row>
    <row r="15" spans="1:16" x14ac:dyDescent="0.25">
      <c r="A15" t="s">
        <v>40</v>
      </c>
      <c r="B15" t="str">
        <f>=VLOOKUP(A15,'Employee Master'!$A:$B,2,FALSE)</f>
        <v>Manager</v>
      </c>
      <c r="C15" t="s">
        <v>28</v>
      </c>
      <c r="D15" t="s">
        <v>31</v>
      </c>
      <c r="E15" s="3">
        <v>40</v>
      </c>
      <c r="F15" s="3">
        <v>40</v>
      </c>
      <c r="G15" s="3">
        <v>40</v>
      </c>
      <c r="H15" s="3">
        <v>40</v>
      </c>
      <c r="I15" s="3">
        <v>40</v>
      </c>
      <c r="J15" s="3">
        <v>40</v>
      </c>
      <c r="K15" s="3">
        <v>40</v>
      </c>
      <c r="L15" s="3">
        <v>40</v>
      </c>
      <c r="M15" s="3">
        <v>40</v>
      </c>
      <c r="N15" s="3">
        <v>40</v>
      </c>
      <c r="O15" s="3">
        <v>40</v>
      </c>
      <c r="P15" s="1">
        <v>0</v>
      </c>
    </row>
    <row r="16" spans="1:16" x14ac:dyDescent="0.25">
      <c r="A16" t="s">
        <v>41</v>
      </c>
      <c r="B16" t="str">
        <f>=VLOOKUP(A16,'Employee Master'!$A:$B,2,FALSE)</f>
        <v>Manager</v>
      </c>
      <c r="C16" t="s">
        <v>30</v>
      </c>
      <c r="D16" t="s">
        <v>42</v>
      </c>
      <c r="E16" s="2">
        <v>5</v>
      </c>
      <c r="F16" s="2">
        <v>5</v>
      </c>
      <c r="G16" s="2">
        <v>5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</row>
    <row r="17" spans="1:16" x14ac:dyDescent="0.25">
      <c r="A17" t="s">
        <v>41</v>
      </c>
      <c r="B17" t="str">
        <f>=VLOOKUP(A17,'Employee Master'!$A:$B,2,FALSE)</f>
        <v>Manager</v>
      </c>
      <c r="C17" t="s">
        <v>30</v>
      </c>
      <c r="D17" t="s">
        <v>31</v>
      </c>
      <c r="E17" s="3">
        <v>40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</row>
    <row r="18" spans="1:16" x14ac:dyDescent="0.25">
      <c r="A18" t="s">
        <v>43</v>
      </c>
      <c r="B18" t="str">
        <f>=VLOOKUP(A18,'Employee Master'!$A:$B,2,FALSE)</f>
        <v>Senior Consultant</v>
      </c>
      <c r="C18" t="s">
        <v>17</v>
      </c>
      <c r="D18" t="s">
        <v>26</v>
      </c>
      <c r="E18" s="3">
        <v>40</v>
      </c>
      <c r="F18" s="3">
        <v>40</v>
      </c>
      <c r="G18" s="3">
        <v>40</v>
      </c>
      <c r="H18" s="3">
        <v>40</v>
      </c>
      <c r="I18" s="3">
        <v>40</v>
      </c>
      <c r="J18" s="3">
        <v>40</v>
      </c>
      <c r="K18" s="3">
        <v>40</v>
      </c>
      <c r="L18" s="3">
        <v>40</v>
      </c>
      <c r="M18" s="3">
        <v>40</v>
      </c>
      <c r="N18" s="3">
        <v>40</v>
      </c>
      <c r="O18" s="3">
        <v>40</v>
      </c>
      <c r="P18" s="1">
        <v>0</v>
      </c>
    </row>
    <row r="19" spans="1:16" x14ac:dyDescent="0.25">
      <c r="A19" t="s">
        <v>44</v>
      </c>
      <c r="B19" t="str">
        <f>=VLOOKUP(A19,'Employee Master'!$A:$B,2,FALSE)</f>
        <v>Analyst</v>
      </c>
      <c r="C19" t="s">
        <v>21</v>
      </c>
      <c r="D19" t="s">
        <v>45</v>
      </c>
      <c r="E19" s="3">
        <v>40</v>
      </c>
      <c r="F19" s="3">
        <v>40</v>
      </c>
      <c r="G19" s="3">
        <v>40</v>
      </c>
      <c r="H19" s="3">
        <v>40</v>
      </c>
      <c r="I19" s="3">
        <v>40</v>
      </c>
      <c r="J19" s="3">
        <v>40</v>
      </c>
      <c r="K19" s="3">
        <v>40</v>
      </c>
      <c r="L19" s="3">
        <v>40</v>
      </c>
      <c r="M19" s="3">
        <v>40</v>
      </c>
      <c r="N19" s="3">
        <v>40</v>
      </c>
      <c r="O19" s="3">
        <v>40</v>
      </c>
      <c r="P19" s="1">
        <v>0</v>
      </c>
    </row>
    <row r="20" spans="1:16" x14ac:dyDescent="0.25">
      <c r="A20" t="s">
        <v>46</v>
      </c>
      <c r="B20" t="str">
        <f>=VLOOKUP(A20,'Employee Master'!$A:$B,2,FALSE)</f>
        <v>Senior Consultant</v>
      </c>
      <c r="C20" t="s">
        <v>25</v>
      </c>
      <c r="D20" t="s">
        <v>36</v>
      </c>
      <c r="E20" s="4">
        <v>45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</row>
    <row r="21" spans="1:16" x14ac:dyDescent="0.25">
      <c r="A21" t="s">
        <v>46</v>
      </c>
      <c r="B21" t="str">
        <f>=VLOOKUP(A21,'Employee Master'!$A:$B,2,FALSE)</f>
        <v>Senior Consultant</v>
      </c>
      <c r="C21" t="s">
        <v>25</v>
      </c>
      <c r="D21" t="s">
        <v>35</v>
      </c>
      <c r="E21" s="1">
        <v>0</v>
      </c>
      <c r="F21" s="1">
        <v>0</v>
      </c>
      <c r="G21" s="1">
        <v>0</v>
      </c>
      <c r="H21" s="2">
        <v>20</v>
      </c>
      <c r="I21" s="2">
        <v>20</v>
      </c>
      <c r="J21" s="2">
        <v>20</v>
      </c>
      <c r="K21" s="2">
        <v>20</v>
      </c>
      <c r="L21" s="2">
        <v>20</v>
      </c>
      <c r="M21" s="2">
        <v>20</v>
      </c>
      <c r="N21" s="2">
        <v>20</v>
      </c>
      <c r="O21" s="2">
        <v>20</v>
      </c>
      <c r="P21" s="1">
        <v>0</v>
      </c>
    </row>
    <row r="22" spans="1:16" x14ac:dyDescent="0.25">
      <c r="A22" t="s">
        <v>47</v>
      </c>
      <c r="B22" t="str">
        <f>=VLOOKUP(A22,'Employee Master'!$A:$B,2,FALSE)</f>
        <v>Manager</v>
      </c>
      <c r="C22" t="s">
        <v>28</v>
      </c>
      <c r="D22" t="s">
        <v>48</v>
      </c>
      <c r="E22" s="3">
        <v>40</v>
      </c>
      <c r="F22" s="3">
        <v>40</v>
      </c>
      <c r="G22" s="3">
        <v>40</v>
      </c>
      <c r="H22" s="3">
        <v>40</v>
      </c>
      <c r="I22" s="3">
        <v>40</v>
      </c>
      <c r="J22" s="3">
        <v>40</v>
      </c>
      <c r="K22" s="3">
        <v>40</v>
      </c>
      <c r="L22" s="3">
        <v>40</v>
      </c>
      <c r="M22" s="3">
        <v>40</v>
      </c>
      <c r="N22" s="3">
        <v>40</v>
      </c>
      <c r="O22" s="3">
        <v>40</v>
      </c>
      <c r="P22" s="1">
        <v>0</v>
      </c>
    </row>
    <row r="23" spans="1:16" x14ac:dyDescent="0.25">
      <c r="A23" t="s">
        <v>49</v>
      </c>
      <c r="B23" t="str">
        <f>=VLOOKUP(A23,'Employee Master'!$A:$B,2,FALSE)</f>
        <v>Manager</v>
      </c>
      <c r="C23" t="s">
        <v>30</v>
      </c>
      <c r="D23" t="s">
        <v>50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</row>
    <row r="24" spans="1:16" x14ac:dyDescent="0.25">
      <c r="A24" t="s">
        <v>49</v>
      </c>
      <c r="B24" t="str">
        <f>=VLOOKUP(A24,'Employee Master'!$A:$B,2,FALSE)</f>
        <v>Manager</v>
      </c>
      <c r="C24" t="s">
        <v>30</v>
      </c>
      <c r="D24" t="s">
        <v>31</v>
      </c>
      <c r="E24" s="2">
        <v>16</v>
      </c>
      <c r="F24" s="2">
        <v>16</v>
      </c>
      <c r="G24" s="2">
        <v>8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</row>
    <row r="25" spans="1:16" x14ac:dyDescent="0.25">
      <c r="A25" t="s">
        <v>49</v>
      </c>
      <c r="B25" t="str">
        <f>=VLOOKUP(A25,'Employee Master'!$A:$B,2,FALSE)</f>
        <v>Manager</v>
      </c>
      <c r="C25" t="s">
        <v>30</v>
      </c>
      <c r="D25" t="s">
        <v>51</v>
      </c>
      <c r="E25" s="2">
        <v>8</v>
      </c>
      <c r="F25" s="2">
        <v>8</v>
      </c>
      <c r="G25" s="2">
        <v>8</v>
      </c>
      <c r="H25" s="2">
        <v>8</v>
      </c>
      <c r="I25" s="2">
        <v>8</v>
      </c>
      <c r="J25" s="2">
        <v>8</v>
      </c>
      <c r="K25" s="2">
        <v>8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</row>
    <row r="26" spans="1:16" x14ac:dyDescent="0.25">
      <c r="A26" t="s">
        <v>52</v>
      </c>
      <c r="B26" t="str">
        <f>=VLOOKUP(A26,'Employee Master'!$A:$B,2,FALSE)</f>
        <v>Senior Consultant</v>
      </c>
      <c r="C26" t="s">
        <v>17</v>
      </c>
      <c r="D26" t="s">
        <v>53</v>
      </c>
      <c r="E26" s="2">
        <v>5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</row>
    <row r="27" spans="1:16" x14ac:dyDescent="0.25">
      <c r="A27" t="s">
        <v>52</v>
      </c>
      <c r="B27" t="str">
        <f>=VLOOKUP(A27,'Employee Master'!$A:$B,2,FALSE)</f>
        <v>Senior Consultant</v>
      </c>
      <c r="C27" t="s">
        <v>17</v>
      </c>
      <c r="D27" t="s">
        <v>31</v>
      </c>
      <c r="E27" s="3">
        <v>40</v>
      </c>
      <c r="F27" s="3">
        <v>40</v>
      </c>
      <c r="G27" s="3">
        <v>40</v>
      </c>
      <c r="H27" s="3">
        <v>40</v>
      </c>
      <c r="I27" s="3">
        <v>40</v>
      </c>
      <c r="J27" s="3">
        <v>40</v>
      </c>
      <c r="K27" s="3">
        <v>40</v>
      </c>
      <c r="L27" s="3">
        <v>40</v>
      </c>
      <c r="M27" s="3">
        <v>40</v>
      </c>
      <c r="N27" s="3">
        <v>40</v>
      </c>
      <c r="O27" s="3">
        <v>40</v>
      </c>
      <c r="P27" s="3">
        <v>40</v>
      </c>
    </row>
    <row r="28" spans="1:16" x14ac:dyDescent="0.25">
      <c r="A28" t="s">
        <v>52</v>
      </c>
      <c r="B28" t="str">
        <f>=VLOOKUP(A28,'Employee Master'!$A:$B,2,FALSE)</f>
        <v>Senior Consultant</v>
      </c>
      <c r="C28" t="s">
        <v>17</v>
      </c>
      <c r="D28" t="s">
        <v>54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</row>
    <row r="29" spans="1:16" x14ac:dyDescent="0.25">
      <c r="A29" t="s">
        <v>55</v>
      </c>
      <c r="B29" t="str">
        <f>=VLOOKUP(A29,'Employee Master'!$A:$B,2,FALSE)</f>
        <v>Manager</v>
      </c>
      <c r="C29" t="s">
        <v>21</v>
      </c>
      <c r="D29" t="s">
        <v>31</v>
      </c>
      <c r="E29" s="3">
        <v>40</v>
      </c>
      <c r="F29" s="3">
        <v>40</v>
      </c>
      <c r="G29" s="3">
        <v>40</v>
      </c>
      <c r="H29" s="3">
        <v>40</v>
      </c>
      <c r="I29" s="3">
        <v>40</v>
      </c>
      <c r="J29" s="3">
        <v>40</v>
      </c>
      <c r="K29" s="3">
        <v>40</v>
      </c>
      <c r="L29" s="3">
        <v>40</v>
      </c>
      <c r="M29" s="3">
        <v>40</v>
      </c>
      <c r="N29" s="3">
        <v>40</v>
      </c>
      <c r="O29" s="3">
        <v>40</v>
      </c>
      <c r="P29" s="3">
        <v>40</v>
      </c>
    </row>
    <row r="30" spans="1:16" x14ac:dyDescent="0.25">
      <c r="A30" t="s">
        <v>56</v>
      </c>
      <c r="B30" t="str">
        <f>=VLOOKUP(A30,'Employee Master'!$A:$B,2,FALSE)</f>
        <v>Analyst</v>
      </c>
      <c r="C30" t="s">
        <v>25</v>
      </c>
      <c r="D30" t="s">
        <v>57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</row>
    <row r="31" spans="1:16" x14ac:dyDescent="0.25">
      <c r="A31" t="s">
        <v>56</v>
      </c>
      <c r="B31" t="str">
        <f>=VLOOKUP(A31,'Employee Master'!$A:$B,2,FALSE)</f>
        <v>Analyst</v>
      </c>
      <c r="C31" t="s">
        <v>25</v>
      </c>
      <c r="D31" t="s">
        <v>31</v>
      </c>
      <c r="E31" s="3">
        <v>40</v>
      </c>
      <c r="F31" s="3">
        <v>40</v>
      </c>
      <c r="G31" s="3">
        <v>40</v>
      </c>
      <c r="H31" s="3">
        <v>40</v>
      </c>
      <c r="I31" s="3">
        <v>40</v>
      </c>
      <c r="J31" s="3">
        <v>40</v>
      </c>
      <c r="K31" s="3">
        <v>40</v>
      </c>
      <c r="L31" s="3">
        <v>40</v>
      </c>
      <c r="M31" s="3">
        <v>40</v>
      </c>
      <c r="N31" s="3">
        <v>40</v>
      </c>
      <c r="O31" s="3">
        <v>40</v>
      </c>
      <c r="P31" s="1">
        <v>0</v>
      </c>
    </row>
    <row r="32" spans="1:16" x14ac:dyDescent="0.25">
      <c r="A32" t="s">
        <v>58</v>
      </c>
      <c r="B32" t="str">
        <f>=VLOOKUP(A32,'Employee Master'!$A:$B,2,FALSE)</f>
        <v>Senior Consultant</v>
      </c>
      <c r="C32" t="s">
        <v>28</v>
      </c>
      <c r="D32" t="s">
        <v>38</v>
      </c>
      <c r="E32" s="1">
        <v>0</v>
      </c>
      <c r="F32" s="1">
        <v>0</v>
      </c>
      <c r="G32" s="3">
        <v>40</v>
      </c>
      <c r="H32" s="3">
        <v>40</v>
      </c>
      <c r="I32" s="3">
        <v>40</v>
      </c>
      <c r="J32" s="3">
        <v>40</v>
      </c>
      <c r="K32" s="3">
        <v>40</v>
      </c>
      <c r="L32" s="3">
        <v>40</v>
      </c>
      <c r="M32" s="3">
        <v>40</v>
      </c>
      <c r="N32" s="3">
        <v>40</v>
      </c>
      <c r="O32" s="3">
        <v>40</v>
      </c>
      <c r="P32" s="1">
        <v>0</v>
      </c>
    </row>
    <row r="33" spans="1:16" x14ac:dyDescent="0.25">
      <c r="A33" t="s">
        <v>58</v>
      </c>
      <c r="B33" t="str">
        <f>=VLOOKUP(A33,'Employee Master'!$A:$B,2,FALSE)</f>
        <v>Senior Consultant</v>
      </c>
      <c r="C33" t="s">
        <v>28</v>
      </c>
      <c r="D33" t="s">
        <v>36</v>
      </c>
      <c r="E33" s="3">
        <v>40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</row>
    <row r="34" spans="1:16" x14ac:dyDescent="0.25">
      <c r="A34" t="s">
        <v>59</v>
      </c>
      <c r="B34" t="str">
        <f>=VLOOKUP(A34,'Employee Master'!$A:$B,2,FALSE)</f>
        <v>Senior Manager</v>
      </c>
      <c r="C34" t="s">
        <v>30</v>
      </c>
      <c r="D34" t="s">
        <v>36</v>
      </c>
      <c r="E34" s="3">
        <v>40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</row>
    <row r="35" spans="1:16" x14ac:dyDescent="0.25">
      <c r="A35" t="s">
        <v>60</v>
      </c>
      <c r="B35" t="str">
        <f>=VLOOKUP(A35,'Employee Master'!$A:$B,2,FALSE)</f>
        <v>Senior Consultant</v>
      </c>
      <c r="C35" t="s">
        <v>17</v>
      </c>
      <c r="D35" t="s">
        <v>61</v>
      </c>
      <c r="E35" s="2">
        <v>12</v>
      </c>
      <c r="F35" s="2">
        <v>12</v>
      </c>
      <c r="G35" s="2">
        <v>12</v>
      </c>
      <c r="H35" s="2">
        <v>12</v>
      </c>
      <c r="I35" s="2">
        <v>12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</row>
    <row r="36" spans="1:16" x14ac:dyDescent="0.25">
      <c r="A36" t="s">
        <v>60</v>
      </c>
      <c r="B36" t="str">
        <f>=VLOOKUP(A36,'Employee Master'!$A:$B,2,FALSE)</f>
        <v>Senior Consultant</v>
      </c>
      <c r="C36" t="s">
        <v>17</v>
      </c>
      <c r="D36" t="s">
        <v>62</v>
      </c>
      <c r="E36" s="2">
        <v>20</v>
      </c>
      <c r="F36" s="2">
        <v>24</v>
      </c>
      <c r="G36" s="2">
        <v>24</v>
      </c>
      <c r="H36" s="2">
        <v>24</v>
      </c>
      <c r="I36" s="2">
        <v>24</v>
      </c>
      <c r="J36" s="2">
        <v>24</v>
      </c>
      <c r="K36" s="2">
        <v>24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</row>
    <row r="37" spans="1:16" x14ac:dyDescent="0.25">
      <c r="A37" t="s">
        <v>60</v>
      </c>
      <c r="B37" t="str">
        <f>=VLOOKUP(A37,'Employee Master'!$A:$B,2,FALSE)</f>
        <v>Senior Consultant</v>
      </c>
      <c r="C37" t="s">
        <v>17</v>
      </c>
      <c r="D37" t="s">
        <v>63</v>
      </c>
      <c r="E37" s="2">
        <v>8</v>
      </c>
      <c r="F37" s="2">
        <v>8</v>
      </c>
      <c r="G37" s="2">
        <v>8</v>
      </c>
      <c r="H37" s="2">
        <v>8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</row>
    <row r="38" spans="1:16" x14ac:dyDescent="0.25">
      <c r="A38" t="s">
        <v>60</v>
      </c>
      <c r="B38" t="str">
        <f>=VLOOKUP(A38,'Employee Master'!$A:$B,2,FALSE)</f>
        <v>Senior Consultant</v>
      </c>
      <c r="C38" t="s">
        <v>17</v>
      </c>
      <c r="D38" t="s">
        <v>64</v>
      </c>
      <c r="E38" s="2">
        <v>4</v>
      </c>
      <c r="F38" s="2">
        <v>4</v>
      </c>
      <c r="G38" s="2">
        <v>4</v>
      </c>
      <c r="H38" s="2">
        <v>4</v>
      </c>
      <c r="I38" s="2">
        <v>4</v>
      </c>
      <c r="J38" s="2">
        <v>4</v>
      </c>
      <c r="K38" s="2">
        <v>4</v>
      </c>
      <c r="L38" s="2">
        <v>4</v>
      </c>
      <c r="M38" s="2">
        <v>4</v>
      </c>
      <c r="N38" s="2">
        <v>4</v>
      </c>
      <c r="O38" s="2">
        <v>4</v>
      </c>
      <c r="P38" s="1">
        <v>0</v>
      </c>
    </row>
    <row r="39" spans="1:16" x14ac:dyDescent="0.25">
      <c r="A39" t="s">
        <v>65</v>
      </c>
      <c r="B39" t="str">
        <f>=VLOOKUP(A39,'Employee Master'!$A:$B,2,FALSE)</f>
        <v>Consultant</v>
      </c>
      <c r="C39" t="s">
        <v>21</v>
      </c>
      <c r="D39" t="s">
        <v>26</v>
      </c>
      <c r="E39" s="3">
        <v>40</v>
      </c>
      <c r="F39" s="3">
        <v>40</v>
      </c>
      <c r="G39" s="3">
        <v>40</v>
      </c>
      <c r="H39" s="3">
        <v>40</v>
      </c>
      <c r="I39" s="3">
        <v>40</v>
      </c>
      <c r="J39" s="3">
        <v>40</v>
      </c>
      <c r="K39" s="3">
        <v>40</v>
      </c>
      <c r="L39" s="3">
        <v>40</v>
      </c>
      <c r="M39" s="3">
        <v>40</v>
      </c>
      <c r="N39" s="3">
        <v>40</v>
      </c>
      <c r="O39" s="3">
        <v>40</v>
      </c>
      <c r="P39" s="1">
        <v>0</v>
      </c>
    </row>
    <row r="40" spans="1:16" x14ac:dyDescent="0.25">
      <c r="A40" t="s">
        <v>66</v>
      </c>
      <c r="B40" t="str">
        <f>=VLOOKUP(A40,'Employee Master'!$A:$B,2,FALSE)</f>
        <v>Manager</v>
      </c>
      <c r="C40" t="s">
        <v>25</v>
      </c>
      <c r="D40" t="s">
        <v>67</v>
      </c>
      <c r="E40" s="2">
        <v>14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</row>
    <row r="41" spans="1:16" x14ac:dyDescent="0.25">
      <c r="A41" t="s">
        <v>66</v>
      </c>
      <c r="B41" t="str">
        <f>=VLOOKUP(A41,'Employee Master'!$A:$B,2,FALSE)</f>
        <v>Manager</v>
      </c>
      <c r="C41" t="s">
        <v>25</v>
      </c>
      <c r="D41" t="s">
        <v>68</v>
      </c>
      <c r="E41" s="2">
        <v>4</v>
      </c>
      <c r="F41" s="2">
        <v>4</v>
      </c>
      <c r="G41" s="2">
        <v>4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</row>
    <row r="42" spans="1:16" x14ac:dyDescent="0.25">
      <c r="A42" t="s">
        <v>66</v>
      </c>
      <c r="B42" t="str">
        <f>=VLOOKUP(A42,'Employee Master'!$A:$B,2,FALSE)</f>
        <v>Manager</v>
      </c>
      <c r="C42" t="s">
        <v>25</v>
      </c>
      <c r="D42" t="s">
        <v>69</v>
      </c>
      <c r="E42" s="2">
        <v>10</v>
      </c>
      <c r="F42" s="2">
        <v>10</v>
      </c>
      <c r="G42" s="2">
        <v>10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</row>
    <row r="43" spans="1:16" x14ac:dyDescent="0.25">
      <c r="A43" t="s">
        <v>66</v>
      </c>
      <c r="B43" t="str">
        <f>=VLOOKUP(A43,'Employee Master'!$A:$B,2,FALSE)</f>
        <v>Manager</v>
      </c>
      <c r="C43" t="s">
        <v>25</v>
      </c>
      <c r="D43" t="s">
        <v>51</v>
      </c>
      <c r="E43" s="2">
        <v>16</v>
      </c>
      <c r="F43" s="2">
        <v>20</v>
      </c>
      <c r="G43" s="2">
        <v>16</v>
      </c>
      <c r="H43" s="2">
        <v>16</v>
      </c>
      <c r="I43" s="2">
        <v>16</v>
      </c>
      <c r="J43" s="2">
        <v>16</v>
      </c>
      <c r="K43" s="2">
        <v>16</v>
      </c>
      <c r="L43" s="2">
        <v>16</v>
      </c>
      <c r="M43" s="1">
        <v>0</v>
      </c>
      <c r="N43" s="1">
        <v>0</v>
      </c>
      <c r="O43" s="1">
        <v>0</v>
      </c>
      <c r="P43" s="1">
        <v>0</v>
      </c>
    </row>
    <row r="44" spans="1:16" x14ac:dyDescent="0.25">
      <c r="A44" t="s">
        <v>70</v>
      </c>
      <c r="B44" t="str">
        <f>=VLOOKUP(A44,'Employee Master'!$A:$B,2,FALSE)</f>
        <v>Senior Manager</v>
      </c>
      <c r="C44" t="s">
        <v>28</v>
      </c>
      <c r="D44" t="s">
        <v>26</v>
      </c>
      <c r="E44" s="3">
        <v>40</v>
      </c>
      <c r="F44" s="3">
        <v>40</v>
      </c>
      <c r="G44" s="3">
        <v>40</v>
      </c>
      <c r="H44" s="3">
        <v>40</v>
      </c>
      <c r="I44" s="3">
        <v>40</v>
      </c>
      <c r="J44" s="3">
        <v>40</v>
      </c>
      <c r="K44" s="3">
        <v>40</v>
      </c>
      <c r="L44" s="3">
        <v>40</v>
      </c>
      <c r="M44" s="3">
        <v>40</v>
      </c>
      <c r="N44" s="3">
        <v>40</v>
      </c>
      <c r="O44" s="3">
        <v>40</v>
      </c>
      <c r="P44" s="1">
        <v>0</v>
      </c>
    </row>
    <row r="45" spans="1:16" x14ac:dyDescent="0.25">
      <c r="A45" t="s">
        <v>71</v>
      </c>
      <c r="B45" t="str">
        <f>=VLOOKUP(A45,'Employee Master'!$A:$B,2,FALSE)</f>
        <v>Analyst</v>
      </c>
      <c r="C45" t="s">
        <v>30</v>
      </c>
      <c r="D45" t="s">
        <v>31</v>
      </c>
      <c r="E45" s="2">
        <v>16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</row>
  </sheetData>
  <dataValidations count="2">
    <dataValidation type="list" allowBlank="1" sqref="C2:C500">
      <formula1>'Skills Master'!$A$2:$A$10</formula1>
    </dataValidation>
    <dataValidation type="list" allowBlank="1" sqref="D2:D500">
      <formula1>'Project Master'!$B$2:$B$27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.25"/>
  <cols>
    <col min="1" max="1" width="52" customWidth="1"/>
    <col min="2" max="2" width="20" customWidth="1"/>
    <col min="3" max="3" width="34" customWidth="1"/>
    <col min="4" max="6" width="14" customWidth="1"/>
  </cols>
  <sheetData>
    <row r="1" ht="30" customHeight="1" spans="1:6" x14ac:dyDescent="0.25">
      <c r="A1" s="5" t="s">
        <v>72</v>
      </c>
      <c r="B1" s="5" t="s">
        <v>73</v>
      </c>
      <c r="C1" s="5" t="s">
        <v>74</v>
      </c>
      <c r="D1" s="5" t="s">
        <v>75</v>
      </c>
      <c r="E1" s="5" t="s">
        <v>76</v>
      </c>
      <c r="F1" s="5" t="s">
        <v>77</v>
      </c>
    </row>
    <row r="2" spans="1:6" x14ac:dyDescent="0.25">
      <c r="A2" s="6" t="s">
        <v>78</v>
      </c>
      <c r="B2" s="6" t="s">
        <v>79</v>
      </c>
      <c r="C2" s="6" t="s">
        <v>17</v>
      </c>
      <c r="D2" s="7" t="s">
        <v>80</v>
      </c>
      <c r="E2" s="7" t="s">
        <v>81</v>
      </c>
      <c r="F2" s="7">
        <v>40</v>
      </c>
    </row>
    <row r="3" spans="1:6" x14ac:dyDescent="0.25">
      <c r="A3" t="s">
        <v>82</v>
      </c>
      <c r="B3" t="s">
        <v>83</v>
      </c>
      <c r="C3" t="s">
        <v>25</v>
      </c>
      <c r="D3" s="8" t="s">
        <v>84</v>
      </c>
      <c r="E3" s="8" t="s">
        <v>85</v>
      </c>
      <c r="F3" s="8">
        <v>40</v>
      </c>
    </row>
    <row r="4" spans="1:6" x14ac:dyDescent="0.25">
      <c r="A4" s="6" t="s">
        <v>86</v>
      </c>
      <c r="B4" s="6" t="s">
        <v>79</v>
      </c>
      <c r="C4" s="6" t="s">
        <v>28</v>
      </c>
      <c r="D4" s="7" t="s">
        <v>87</v>
      </c>
      <c r="E4" s="7" t="s">
        <v>88</v>
      </c>
      <c r="F4" s="7">
        <v>30</v>
      </c>
    </row>
    <row r="5" spans="1:6" x14ac:dyDescent="0.25">
      <c r="A5" t="s">
        <v>89</v>
      </c>
      <c r="B5" t="s">
        <v>90</v>
      </c>
      <c r="C5" t="s">
        <v>17</v>
      </c>
      <c r="D5" s="8" t="s">
        <v>91</v>
      </c>
      <c r="E5" s="8" t="s">
        <v>92</v>
      </c>
      <c r="F5" s="8">
        <v>30</v>
      </c>
    </row>
    <row r="6" spans="1:6" x14ac:dyDescent="0.25">
      <c r="A6" s="6" t="s">
        <v>93</v>
      </c>
      <c r="B6" s="6" t="s">
        <v>79</v>
      </c>
      <c r="C6" s="6" t="s">
        <v>21</v>
      </c>
      <c r="D6" s="7" t="s">
        <v>94</v>
      </c>
      <c r="E6" s="7" t="s">
        <v>95</v>
      </c>
      <c r="F6" s="7">
        <v>40</v>
      </c>
    </row>
    <row r="7" spans="1:6" x14ac:dyDescent="0.25">
      <c r="A7" t="s">
        <v>96</v>
      </c>
      <c r="B7" t="s">
        <v>83</v>
      </c>
      <c r="C7" t="s">
        <v>17</v>
      </c>
      <c r="D7" s="8" t="s">
        <v>80</v>
      </c>
      <c r="E7" s="8" t="s">
        <v>81</v>
      </c>
      <c r="F7" s="8">
        <v>30</v>
      </c>
    </row>
    <row r="8" spans="1:6" x14ac:dyDescent="0.25">
      <c r="A8" s="6" t="s">
        <v>97</v>
      </c>
      <c r="B8" s="6" t="s">
        <v>98</v>
      </c>
      <c r="C8" s="6" t="s">
        <v>28</v>
      </c>
      <c r="D8" s="7" t="s">
        <v>99</v>
      </c>
      <c r="E8" s="7" t="s">
        <v>100</v>
      </c>
      <c r="F8" s="7">
        <v>20</v>
      </c>
    </row>
    <row r="9" spans="1:6" x14ac:dyDescent="0.25">
      <c r="A9" t="s">
        <v>101</v>
      </c>
      <c r="B9" t="s">
        <v>102</v>
      </c>
      <c r="C9" t="s">
        <v>25</v>
      </c>
      <c r="D9" s="8" t="s">
        <v>87</v>
      </c>
      <c r="E9" s="8" t="s">
        <v>103</v>
      </c>
      <c r="F9" s="8">
        <v>20</v>
      </c>
    </row>
  </sheetData>
  <dataValidations count="3">
    <dataValidation type="list" allowBlank="1" sqref="A2:A500">
      <formula1>'Project Master'!$B$2:$B$27</formula1>
    </dataValidation>
    <dataValidation type="list" allowBlank="1" sqref="B2:B500">
      <formula1>'Resource Levels'!$A$2:$A$10</formula1>
    </dataValidation>
    <dataValidation type="list" allowBlank="1" sqref="C2:C500">
      <formula1>'Skills Master'!$A$2:$A$10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.25"/>
  <cols>
    <col min="1" max="1" width="24" customWidth="1"/>
    <col min="2" max="2" width="20" customWidth="1"/>
  </cols>
  <sheetData>
    <row r="1" ht="30" customHeight="1" spans="1:2" x14ac:dyDescent="0.25">
      <c r="A1" s="5" t="s">
        <v>0</v>
      </c>
      <c r="B1" s="5" t="s">
        <v>1</v>
      </c>
    </row>
    <row r="2" spans="1:2" x14ac:dyDescent="0.25">
      <c r="A2" t="s">
        <v>16</v>
      </c>
      <c r="B2" t="s">
        <v>83</v>
      </c>
    </row>
    <row r="3" spans="1:2" x14ac:dyDescent="0.25">
      <c r="A3" t="s">
        <v>20</v>
      </c>
      <c r="B3" t="s">
        <v>90</v>
      </c>
    </row>
    <row r="4" spans="1:2" x14ac:dyDescent="0.25">
      <c r="A4" t="s">
        <v>24</v>
      </c>
      <c r="B4" t="s">
        <v>90</v>
      </c>
    </row>
    <row r="5" spans="1:2" x14ac:dyDescent="0.25">
      <c r="A5" t="s">
        <v>27</v>
      </c>
      <c r="B5" t="s">
        <v>79</v>
      </c>
    </row>
    <row r="6" spans="1:2" x14ac:dyDescent="0.25">
      <c r="A6" t="s">
        <v>29</v>
      </c>
      <c r="B6" t="s">
        <v>79</v>
      </c>
    </row>
    <row r="7" spans="1:2" x14ac:dyDescent="0.25">
      <c r="A7" t="s">
        <v>32</v>
      </c>
      <c r="B7" t="s">
        <v>79</v>
      </c>
    </row>
    <row r="8" spans="1:2" x14ac:dyDescent="0.25">
      <c r="A8" t="s">
        <v>34</v>
      </c>
      <c r="B8" t="s">
        <v>102</v>
      </c>
    </row>
    <row r="9" spans="1:2" x14ac:dyDescent="0.25">
      <c r="A9" t="s">
        <v>37</v>
      </c>
      <c r="B9" t="s">
        <v>102</v>
      </c>
    </row>
    <row r="10" spans="1:2" x14ac:dyDescent="0.25">
      <c r="A10" t="s">
        <v>40</v>
      </c>
      <c r="B10" t="s">
        <v>90</v>
      </c>
    </row>
    <row r="11" spans="1:2" x14ac:dyDescent="0.25">
      <c r="A11" t="s">
        <v>41</v>
      </c>
      <c r="B11" t="s">
        <v>90</v>
      </c>
    </row>
    <row r="12" spans="1:2" x14ac:dyDescent="0.25">
      <c r="A12" t="s">
        <v>43</v>
      </c>
      <c r="B12" t="s">
        <v>79</v>
      </c>
    </row>
    <row r="13" spans="1:2" x14ac:dyDescent="0.25">
      <c r="A13" t="s">
        <v>44</v>
      </c>
      <c r="B13" t="s">
        <v>102</v>
      </c>
    </row>
    <row r="14" spans="1:2" x14ac:dyDescent="0.25">
      <c r="A14" t="s">
        <v>46</v>
      </c>
      <c r="B14" t="s">
        <v>79</v>
      </c>
    </row>
    <row r="15" spans="1:2" x14ac:dyDescent="0.25">
      <c r="A15" t="s">
        <v>47</v>
      </c>
      <c r="B15" t="s">
        <v>90</v>
      </c>
    </row>
    <row r="16" spans="1:2" x14ac:dyDescent="0.25">
      <c r="A16" t="s">
        <v>49</v>
      </c>
      <c r="B16" t="s">
        <v>90</v>
      </c>
    </row>
    <row r="17" spans="1:2" x14ac:dyDescent="0.25">
      <c r="A17" t="s">
        <v>52</v>
      </c>
      <c r="B17" t="s">
        <v>79</v>
      </c>
    </row>
    <row r="18" spans="1:2" x14ac:dyDescent="0.25">
      <c r="A18" t="s">
        <v>55</v>
      </c>
      <c r="B18" t="s">
        <v>90</v>
      </c>
    </row>
    <row r="19" spans="1:2" x14ac:dyDescent="0.25">
      <c r="A19" t="s">
        <v>56</v>
      </c>
      <c r="B19" t="s">
        <v>102</v>
      </c>
    </row>
    <row r="20" spans="1:2" x14ac:dyDescent="0.25">
      <c r="A20" t="s">
        <v>58</v>
      </c>
      <c r="B20" t="s">
        <v>79</v>
      </c>
    </row>
    <row r="21" spans="1:2" x14ac:dyDescent="0.25">
      <c r="A21" t="s">
        <v>59</v>
      </c>
      <c r="B21" t="s">
        <v>98</v>
      </c>
    </row>
    <row r="22" spans="1:2" x14ac:dyDescent="0.25">
      <c r="A22" t="s">
        <v>60</v>
      </c>
      <c r="B22" t="s">
        <v>79</v>
      </c>
    </row>
    <row r="23" spans="1:2" x14ac:dyDescent="0.25">
      <c r="A23" t="s">
        <v>65</v>
      </c>
      <c r="B23" t="s">
        <v>83</v>
      </c>
    </row>
    <row r="24" spans="1:2" x14ac:dyDescent="0.25">
      <c r="A24" t="s">
        <v>66</v>
      </c>
      <c r="B24" t="s">
        <v>90</v>
      </c>
    </row>
    <row r="25" spans="1:2" x14ac:dyDescent="0.25">
      <c r="A25" t="s">
        <v>70</v>
      </c>
      <c r="B25" t="s">
        <v>98</v>
      </c>
    </row>
    <row r="26" spans="1:2" x14ac:dyDescent="0.25">
      <c r="A26" t="s">
        <v>71</v>
      </c>
      <c r="B26" t="s">
        <v>102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.25"/>
  <cols>
    <col min="1" max="1" width="36" customWidth="1"/>
  </cols>
  <sheetData>
    <row r="1" ht="30" customHeight="1" spans="1:1" x14ac:dyDescent="0.25">
      <c r="A1" s="5" t="s">
        <v>2</v>
      </c>
    </row>
    <row r="2" spans="1:1" x14ac:dyDescent="0.25">
      <c r="A2" s="6" t="s">
        <v>17</v>
      </c>
    </row>
    <row r="3" spans="1:1" x14ac:dyDescent="0.25">
      <c r="A3" t="s">
        <v>21</v>
      </c>
    </row>
    <row r="4" spans="1:1" x14ac:dyDescent="0.25">
      <c r="A4" s="6" t="s">
        <v>25</v>
      </c>
    </row>
    <row r="5" spans="1:1" x14ac:dyDescent="0.25">
      <c r="A5" t="s">
        <v>28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.25"/>
  <cols>
    <col min="1" max="1" width="22" customWidth="1"/>
  </cols>
  <sheetData>
    <row r="1" ht="30" customHeight="1" spans="1:1" x14ac:dyDescent="0.25">
      <c r="A1" s="5" t="s">
        <v>1</v>
      </c>
    </row>
    <row r="2" spans="1:1" x14ac:dyDescent="0.25">
      <c r="A2" t="s">
        <v>102</v>
      </c>
    </row>
    <row r="3" spans="1:1" x14ac:dyDescent="0.25">
      <c r="A3" t="s">
        <v>83</v>
      </c>
    </row>
    <row r="4" spans="1:1" x14ac:dyDescent="0.25">
      <c r="A4" t="s">
        <v>79</v>
      </c>
    </row>
    <row r="5" spans="1:1" x14ac:dyDescent="0.25">
      <c r="A5" t="s">
        <v>90</v>
      </c>
    </row>
    <row r="6" spans="1:1" x14ac:dyDescent="0.25">
      <c r="A6" t="s">
        <v>98</v>
      </c>
    </row>
    <row r="7" spans="1:1" x14ac:dyDescent="0.25">
      <c r="A7" t="s">
        <v>104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7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.25"/>
  <cols>
    <col min="1" max="1" width="12" customWidth="1"/>
    <col min="2" max="2" width="52" customWidth="1"/>
  </cols>
  <sheetData>
    <row r="1" ht="30" customHeight="1" spans="1:2" x14ac:dyDescent="0.25">
      <c r="A1" s="5" t="s">
        <v>105</v>
      </c>
      <c r="B1" s="5" t="s">
        <v>106</v>
      </c>
    </row>
    <row r="2" spans="1:2" x14ac:dyDescent="0.25">
      <c r="A2" t="s">
        <v>107</v>
      </c>
      <c r="B2" t="s">
        <v>22</v>
      </c>
    </row>
    <row r="3" spans="1:2" x14ac:dyDescent="0.25">
      <c r="A3" t="s">
        <v>108</v>
      </c>
      <c r="B3" t="s">
        <v>61</v>
      </c>
    </row>
    <row r="4" spans="1:2" x14ac:dyDescent="0.25">
      <c r="A4" t="s">
        <v>109</v>
      </c>
      <c r="B4" t="s">
        <v>54</v>
      </c>
    </row>
    <row r="5" spans="1:2" x14ac:dyDescent="0.25">
      <c r="A5" t="s">
        <v>110</v>
      </c>
      <c r="B5" t="s">
        <v>18</v>
      </c>
    </row>
    <row r="6" spans="1:2" x14ac:dyDescent="0.25">
      <c r="A6" t="s">
        <v>111</v>
      </c>
      <c r="B6" t="s">
        <v>62</v>
      </c>
    </row>
    <row r="7" spans="1:2" x14ac:dyDescent="0.25">
      <c r="A7" t="s">
        <v>112</v>
      </c>
      <c r="B7" t="s">
        <v>51</v>
      </c>
    </row>
    <row r="8" spans="1:2" x14ac:dyDescent="0.25">
      <c r="A8" t="s">
        <v>113</v>
      </c>
      <c r="B8" t="s">
        <v>50</v>
      </c>
    </row>
    <row r="9" spans="1:2" x14ac:dyDescent="0.25">
      <c r="A9" t="s">
        <v>114</v>
      </c>
      <c r="B9" t="s">
        <v>42</v>
      </c>
    </row>
    <row r="10" spans="1:2" x14ac:dyDescent="0.25">
      <c r="A10" t="s">
        <v>115</v>
      </c>
      <c r="B10" t="s">
        <v>45</v>
      </c>
    </row>
    <row r="11" spans="1:2" x14ac:dyDescent="0.25">
      <c r="A11" t="s">
        <v>116</v>
      </c>
      <c r="B11" t="s">
        <v>53</v>
      </c>
    </row>
    <row r="12" spans="1:2" x14ac:dyDescent="0.25">
      <c r="A12" t="s">
        <v>117</v>
      </c>
      <c r="B12" t="s">
        <v>38</v>
      </c>
    </row>
    <row r="13" spans="1:2" x14ac:dyDescent="0.25">
      <c r="A13" t="s">
        <v>118</v>
      </c>
      <c r="B13" t="s">
        <v>26</v>
      </c>
    </row>
    <row r="14" spans="1:2" x14ac:dyDescent="0.25">
      <c r="A14" t="s">
        <v>119</v>
      </c>
      <c r="B14" t="s">
        <v>39</v>
      </c>
    </row>
    <row r="15" spans="1:2" x14ac:dyDescent="0.25">
      <c r="A15" t="s">
        <v>120</v>
      </c>
      <c r="B15" t="s">
        <v>64</v>
      </c>
    </row>
    <row r="16" spans="1:2" x14ac:dyDescent="0.25">
      <c r="A16" t="s">
        <v>121</v>
      </c>
      <c r="B16" t="s">
        <v>19</v>
      </c>
    </row>
    <row r="17" spans="1:2" x14ac:dyDescent="0.25">
      <c r="A17" t="s">
        <v>122</v>
      </c>
      <c r="B17" t="s">
        <v>33</v>
      </c>
    </row>
    <row r="18" spans="1:2" x14ac:dyDescent="0.25">
      <c r="A18" t="s">
        <v>123</v>
      </c>
      <c r="B18" t="s">
        <v>36</v>
      </c>
    </row>
    <row r="19" spans="1:2" x14ac:dyDescent="0.25">
      <c r="A19" t="s">
        <v>124</v>
      </c>
      <c r="B19" t="s">
        <v>35</v>
      </c>
    </row>
    <row r="20" spans="1:2" x14ac:dyDescent="0.25">
      <c r="A20" t="s">
        <v>125</v>
      </c>
      <c r="B20" t="s">
        <v>69</v>
      </c>
    </row>
    <row r="21" spans="1:2" x14ac:dyDescent="0.25">
      <c r="A21" t="s">
        <v>126</v>
      </c>
      <c r="B21" t="s">
        <v>63</v>
      </c>
    </row>
    <row r="22" spans="1:2" x14ac:dyDescent="0.25">
      <c r="A22" t="s">
        <v>127</v>
      </c>
      <c r="B22" t="s">
        <v>23</v>
      </c>
    </row>
    <row r="23" spans="1:2" x14ac:dyDescent="0.25">
      <c r="A23" t="s">
        <v>128</v>
      </c>
      <c r="B23" t="s">
        <v>48</v>
      </c>
    </row>
    <row r="24" spans="1:2" x14ac:dyDescent="0.25">
      <c r="A24" t="s">
        <v>129</v>
      </c>
      <c r="B24" t="s">
        <v>57</v>
      </c>
    </row>
    <row r="25" spans="1:2" x14ac:dyDescent="0.25">
      <c r="A25" t="s">
        <v>130</v>
      </c>
      <c r="B25" t="s">
        <v>67</v>
      </c>
    </row>
    <row r="26" spans="1:2" x14ac:dyDescent="0.25">
      <c r="A26" t="s">
        <v>131</v>
      </c>
      <c r="B26" t="s">
        <v>68</v>
      </c>
    </row>
    <row r="27" spans="1:2" x14ac:dyDescent="0.25">
      <c r="A27" t="s">
        <v>132</v>
      </c>
      <c r="B27" t="s">
        <v>31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Supply</vt:lpstr>
      <vt:lpstr>Demand</vt:lpstr>
      <vt:lpstr>Employee Master</vt:lpstr>
      <vt:lpstr>Skills Master</vt:lpstr>
      <vt:lpstr>Resource Levels</vt:lpstr>
      <vt:lpstr>Project Master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2026-03-19T15:48:07Z</dcterms:created>
  <dcterms:modified xsi:type="dcterms:W3CDTF">2026-03-19T15:55:54Z</dcterms:modified>
</cp:coreProperties>
</file>